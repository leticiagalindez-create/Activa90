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_Semanal" sheetId="1" r:id="rId5"/>
    <sheet state="visible" name="PC_Clinica" sheetId="2" r:id="rId6"/>
    <sheet state="visible" name="PC_Pipeline" sheetId="3" r:id="rId7"/>
    <sheet state="visible" name="PC_Intervencion" sheetId="4" r:id="rId8"/>
    <sheet state="visible" name="TL_Resumen" sheetId="5" r:id="rId9"/>
    <sheet state="visible" name="TL_Intervenciones" sheetId="6" r:id="rId10"/>
    <sheet state="visible" name="TL_Profit" sheetId="7" r:id="rId11"/>
    <sheet state="visible" name="TL_Decisiones" sheetId="8" r:id="rId12"/>
    <sheet state="visible" name="Inputs" sheetId="9" r:id="rId13"/>
    <sheet state="visible" name="PC_Diario" sheetId="10" r:id="rId14"/>
  </sheets>
  <definedNames>
    <definedName hidden="1" localSheetId="0" name="_xlnm._FilterDatabase">PC_Semanal!$A$5:$Z$205</definedName>
  </definedNames>
  <calcPr/>
</workbook>
</file>

<file path=xl/sharedStrings.xml><?xml version="1.0" encoding="utf-8"?>
<sst xmlns="http://schemas.openxmlformats.org/spreadsheetml/2006/main" count="237" uniqueCount="127">
  <si>
    <t>PC – Scoreboard Semanal por Asesor</t>
  </si>
  <si>
    <t>1 fila por asesor por semana. Tendencia y Semáforo se calculan automáticamente.</t>
  </si>
  <si>
    <t>Semáforo basado en Conversaciones vs meta. Tendencia compara vs semana anterior del mismo asesor.</t>
  </si>
  <si>
    <t>Semana</t>
  </si>
  <si>
    <t>Conversaciones</t>
  </si>
  <si>
    <t>Citas agendadas</t>
  </si>
  <si>
    <t>Citas realizadas</t>
  </si>
  <si>
    <t>Listados tomados</t>
  </si>
  <si>
    <t>Contrato Asesoría</t>
  </si>
  <si>
    <t>Closings</t>
  </si>
  <si>
    <t>GCI</t>
  </si>
  <si>
    <t>Asesor</t>
  </si>
  <si>
    <t>Tendencia</t>
  </si>
  <si>
    <t>Semáforo</t>
  </si>
  <si>
    <t>Coach</t>
  </si>
  <si>
    <t>Alain Hernandez</t>
  </si>
  <si>
    <t>Lety</t>
  </si>
  <si>
    <t>Alfonsina Hernández</t>
  </si>
  <si>
    <t>Monzi</t>
  </si>
  <si>
    <t>Andrea Linarte</t>
  </si>
  <si>
    <t>Margarita</t>
  </si>
  <si>
    <t>Andres  Feoli</t>
  </si>
  <si>
    <t>David</t>
  </si>
  <si>
    <t>Carmen Gutiérrez</t>
  </si>
  <si>
    <t>Yami</t>
  </si>
  <si>
    <t>Diego Valerio</t>
  </si>
  <si>
    <t>Eric Giron</t>
  </si>
  <si>
    <t>Eva Loría</t>
  </si>
  <si>
    <t>Hilda Betancort</t>
  </si>
  <si>
    <t>Carolina</t>
  </si>
  <si>
    <t>Lauren Arias</t>
  </si>
  <si>
    <t>Lorena Vargas</t>
  </si>
  <si>
    <t>Berta</t>
  </si>
  <si>
    <t>Lucía Meza</t>
  </si>
  <si>
    <t>Margarita Escalante</t>
  </si>
  <si>
    <t>Marianela Jiménez</t>
  </si>
  <si>
    <t>Maricel Calderón</t>
  </si>
  <si>
    <t>Maryangeles Suárez</t>
  </si>
  <si>
    <t>Natalia Peña</t>
  </si>
  <si>
    <t>Rosa Villa</t>
  </si>
  <si>
    <t>Carlos W</t>
  </si>
  <si>
    <t>Tatiana Arroyo</t>
  </si>
  <si>
    <t>Alex</t>
  </si>
  <si>
    <t>Violeta Rojas</t>
  </si>
  <si>
    <t>Wilber Zavala</t>
  </si>
  <si>
    <t>Yesetnia Luna</t>
  </si>
  <si>
    <t>Zaida Vargas</t>
  </si>
  <si>
    <t>PC – Role Plays / Objeciones</t>
  </si>
  <si>
    <t>Rúbrica rápida. Usa 1 fila por evaluación.</t>
  </si>
  <si>
    <t>En Acción correctiva: escribe 1 ajuste específico para la semana.</t>
  </si>
  <si>
    <t>Fecha</t>
  </si>
  <si>
    <t>Tema</t>
  </si>
  <si>
    <t>Asesor evaluado</t>
  </si>
  <si>
    <t>Seguridad (1-5)</t>
  </si>
  <si>
    <t>Claridad (1-5)</t>
  </si>
  <si>
    <t>Manejo objeción (1-5)</t>
  </si>
  <si>
    <t>Pide acción (1-5)</t>
  </si>
  <si>
    <t>Acción correctiva</t>
  </si>
  <si>
    <t>Observaciones</t>
  </si>
  <si>
    <t>PC – Revisión de Pipeline (Jueves)</t>
  </si>
  <si>
    <t>Usa 1 fila por asesor por semana. Estado recomendado: Verde/Amarillo/Rojo.</t>
  </si>
  <si>
    <t>Tip: Próximo paso debe ser acción concreta con fecha.</t>
  </si>
  <si>
    <t># Oportunidades activas</t>
  </si>
  <si>
    <t>Próximo paso claro</t>
  </si>
  <si>
    <t>Fecha próximo paso</t>
  </si>
  <si>
    <t>Riesgo</t>
  </si>
  <si>
    <t>Acción definida</t>
  </si>
  <si>
    <t>Estado</t>
  </si>
  <si>
    <t>PC – Intervención (1:1 / Plan Correctivo)</t>
  </si>
  <si>
    <t>Registra intervención formal para Amarillo o Rojo. Estatus recomendado: Abierto/En curso/Cerrado.</t>
  </si>
  <si>
    <t>Tip: Meta concreta debe ser medible (citas, UC, listados, conversaciones).</t>
  </si>
  <si>
    <t>Motivo</t>
  </si>
  <si>
    <t>Nivel (A/R)</t>
  </si>
  <si>
    <t>Plan 14 días</t>
  </si>
  <si>
    <t>Meta concreta</t>
  </si>
  <si>
    <t>Fecha revisión</t>
  </si>
  <si>
    <t>Responsable</t>
  </si>
  <si>
    <t>Estatus</t>
  </si>
  <si>
    <t>TL – Resumen Ejecutivo Semanal</t>
  </si>
  <si>
    <t>Totales por semana desde PC_Semanal. Cambia Inputs!B9 (Semana actual) para filtrar análisis rápido.</t>
  </si>
  <si>
    <t>Nota: Verdes se calculan por Semáforo en PC_Semanal.</t>
  </si>
  <si>
    <t>Total conversaciones</t>
  </si>
  <si>
    <t>Total citas agendadas</t>
  </si>
  <si>
    <t>Total citas realizadas</t>
  </si>
  <si>
    <t>Total listados</t>
  </si>
  <si>
    <t>Total UC</t>
  </si>
  <si>
    <t>Total closings</t>
  </si>
  <si>
    <t>GCI total</t>
  </si>
  <si>
    <t>% Productivos (Verde)</t>
  </si>
  <si>
    <t>Verdes</t>
  </si>
  <si>
    <t>Total asesores</t>
  </si>
  <si>
    <t>TL – Control de Intervenciones</t>
  </si>
  <si>
    <t>Registro ejecutivo de decisiones y resultados de intervención.</t>
  </si>
  <si>
    <t>Tip: usar para seguimiento de rojos recurrentes.</t>
  </si>
  <si>
    <t>Semana roja #</t>
  </si>
  <si>
    <t>Acción tomada</t>
  </si>
  <si>
    <t>Resultado</t>
  </si>
  <si>
    <t>TL – Impacto en Rentabilidad (vista rápida)</t>
  </si>
  <si>
    <t>Conecta con TL_Resumen (GCI total). Puedes cargar una meta semanal si la usas.</t>
  </si>
  <si>
    <t>Celdas en azul son editables.</t>
  </si>
  <si>
    <t>Meta GCI (opcional)</t>
  </si>
  <si>
    <t>Diferencia</t>
  </si>
  <si>
    <t>Acción</t>
  </si>
  <si>
    <t/>
  </si>
  <si>
    <t>TL – Decisiones Ejecutivas</t>
  </si>
  <si>
    <t>Registro formal de decisiones y seguimiento.</t>
  </si>
  <si>
    <t>Estatus recomendado: Pendiente/En curso/Cerrado.</t>
  </si>
  <si>
    <t>Decisión</t>
  </si>
  <si>
    <t>Implementación (fecha)</t>
  </si>
  <si>
    <t>ACTIVA 90 – Parámetros (editar en azul)</t>
  </si>
  <si>
    <t>Usado por fórmulas de semáforo y resúmenes</t>
  </si>
  <si>
    <t>Parámetro</t>
  </si>
  <si>
    <t>Valor</t>
  </si>
  <si>
    <t>Nota</t>
  </si>
  <si>
    <t>Meta conversaciones (semana)</t>
  </si>
  <si>
    <t>Verde si &gt;= meta; Amarillo si &gt;=70% de meta</t>
  </si>
  <si>
    <t>Meta citas agendadas (semana)</t>
  </si>
  <si>
    <t>Meta citas realizadas (semana)</t>
  </si>
  <si>
    <t>Semáforo amarillo (%)</t>
  </si>
  <si>
    <t>Umbral para Amarillo (ej. 0.7 = 70%)</t>
  </si>
  <si>
    <t>Semana actual</t>
  </si>
  <si>
    <t>Cambia este valor para ver resúmenes TL por semana</t>
  </si>
  <si>
    <t>PC – Control Diario (Power Hour)</t>
  </si>
  <si>
    <t>Registro diario por asesor. Semáforo automático basado en Conversaciones vs meta semanal (Inputs).</t>
  </si>
  <si>
    <t>Tip: usa 1 fila por día por asesor. Si prefieres semanal, usa PC_Semanal.</t>
  </si>
  <si>
    <t>Seguimientos</t>
  </si>
  <si>
    <t>Alex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</si>
</sst>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8.0"/>
      <color rgb="FFFFFFFF"/>
      <name val="Calibri"/>
    </font>
    <font/>
    <font>
      <color theme="1"/>
      <name val="Calibri"/>
      <scheme val="minor"/>
    </font>
    <font>
      <b/>
      <sz val="14.0"/>
      <color rgb="FFFFFFFF"/>
      <name val="Calibri"/>
    </font>
    <font>
      <i/>
      <sz val="10.0"/>
      <color rgb="FF666666"/>
      <name val="Calibri"/>
    </font>
    <font>
      <b/>
      <sz val="11.0"/>
      <color rgb="FFFFFFFF"/>
      <name val="Calibri"/>
    </font>
    <font>
      <sz val="11.0"/>
      <color rgb="FF1F4E79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1" fillId="2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ont="1">
      <alignment horizontal="left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0" fillId="4" fontId="8" numFmtId="0" xfId="0" applyAlignment="1" applyFont="1">
      <alignment horizontal="left" readingOrder="0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0" fillId="5" fontId="8" numFmtId="0" xfId="0" applyAlignment="1" applyFill="1" applyFont="1">
      <alignment horizontal="left" readingOrder="0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0" fillId="4" fontId="8" numFmtId="0" xfId="0" applyAlignment="1" applyFont="1">
      <alignment horizontal="left" shrinkToFit="0" vertical="center" wrapText="1"/>
    </xf>
    <xf borderId="0" fillId="5" fontId="8" numFmtId="0" xfId="0" applyAlignment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readingOrder="0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shrinkToFit="0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shrinkToFit="0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4" fillId="7" fontId="8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14"/>
    <col customWidth="1" min="2" max="2" width="12.29"/>
    <col customWidth="1" min="3" max="5" width="14.0"/>
    <col customWidth="1" min="6" max="6" width="12.0"/>
    <col customWidth="1" min="7" max="7" width="12.14"/>
    <col customWidth="1" min="8" max="8" width="10.0"/>
    <col customWidth="1" min="9" max="9" width="22.0"/>
    <col customWidth="1" min="10" max="10" width="13.57"/>
    <col customWidth="1" min="11" max="11" width="13.14"/>
    <col customWidth="1" min="12" max="12" width="11.29"/>
    <col customWidth="1" min="13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 ht="19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</row>
    <row r="3">
      <c r="L3" s="4"/>
    </row>
    <row r="4">
      <c r="A4" s="6" t="s">
        <v>2</v>
      </c>
      <c r="L4" s="4"/>
    </row>
    <row r="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8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1" t="s">
        <v>14</v>
      </c>
      <c r="M5" s="2"/>
      <c r="N5" s="2"/>
      <c r="O5" s="2"/>
      <c r="P5" s="2"/>
      <c r="Q5" s="2"/>
      <c r="R5" s="2"/>
      <c r="S5" s="2"/>
      <c r="T5" s="2"/>
      <c r="U5" s="2"/>
      <c r="V5" s="3"/>
    </row>
    <row r="6">
      <c r="A6" s="9">
        <v>1.0</v>
      </c>
      <c r="B6" s="9"/>
      <c r="C6" s="9"/>
      <c r="D6" s="9"/>
      <c r="E6" s="9"/>
      <c r="F6" s="9"/>
      <c r="G6" s="9"/>
      <c r="H6" s="9"/>
      <c r="I6" s="10" t="s">
        <v>15</v>
      </c>
      <c r="J6" s="11" t="str">
        <f>IF($A6="","-",IF($A6&lt;2,"-",IF(SUMIFS(PC_Semanal!$B$6:$B$205,PC_Semanal!$I$6:$I$205,#REF!,PC_Semanal!$A$6:$A$205,$A6-1)=0,"-",IF($B6&gt;SUMIFS(PC_Semanal!$B$6:$B$205,PC_Semanal!$I$6:$I$205,#REF!,PC_Semanal!$A$6:$A$205,$A6-1),"Mejora",IF($B6&lt;SUMIFS(PC_Semanal!$B$6:$B$205,PC_Semanal!$I$6:$I$205,#REF!,PC_Semanal!$A$6:$A$205,$A6-1),"Caída","Igual")))))</f>
        <v>-</v>
      </c>
      <c r="K6" s="11" t="str">
        <f>IF($B6="","",IF($B6&gt;=Inputs!$B$5,"Verde",IF($B6&gt;=Inputs!$B$5*Inputs!$B$8,"Amarillo","Rojo")))</f>
        <v/>
      </c>
      <c r="L6" s="12" t="s">
        <v>16</v>
      </c>
    </row>
    <row r="7">
      <c r="A7" s="9">
        <v>1.0</v>
      </c>
      <c r="B7" s="13"/>
      <c r="C7" s="13"/>
      <c r="D7" s="13"/>
      <c r="E7" s="13"/>
      <c r="F7" s="13"/>
      <c r="G7" s="13"/>
      <c r="H7" s="13"/>
      <c r="I7" s="10" t="s">
        <v>17</v>
      </c>
      <c r="J7" s="11" t="str">
        <f>IF($A7="","-",IF($A7&lt;2,"-",IF(SUMIFS(PC_Semanal!$B$6:$B$205,PC_Semanal!$I$6:$I$205,$I7,PC_Semanal!$A$6:$A$205,$A7-1)=0,"-",IF($B7&gt;SUMIFS(PC_Semanal!$B$6:$B$205,PC_Semanal!$I$6:$I$205,$I7,PC_Semanal!$A$6:$A$205,$A7-1),"Mejora",IF($B7&lt;SUMIFS(PC_Semanal!$B$6:$B$205,PC_Semanal!$I$6:$I$205,$I7,PC_Semanal!$A$6:$A$205,$A7-1),"Caída","Igual")))))</f>
        <v>-</v>
      </c>
      <c r="K7" s="11" t="str">
        <f>IF($B7="","",IF($B7&gt;=Inputs!$B$5,"Verde",IF($B7&gt;=Inputs!$B$5*Inputs!$B$8,"Amarillo","Rojo")))</f>
        <v/>
      </c>
      <c r="L7" s="12" t="s">
        <v>18</v>
      </c>
    </row>
    <row r="8">
      <c r="A8" s="9">
        <v>1.0</v>
      </c>
      <c r="B8" s="13"/>
      <c r="C8" s="13"/>
      <c r="D8" s="13"/>
      <c r="E8" s="13"/>
      <c r="F8" s="13"/>
      <c r="G8" s="13"/>
      <c r="H8" s="13"/>
      <c r="I8" s="10" t="s">
        <v>19</v>
      </c>
      <c r="J8" s="11" t="str">
        <f>IF($A10="","-",IF($A10&lt;2,"-",IF(SUMIFS(PC_Semanal!$B$6:$B$205,PC_Semanal!$I$6:$I$205,$I8,PC_Semanal!$A$6:$A$205,$A10-1)=0,"-",IF($B8&gt;SUMIFS(PC_Semanal!$B$6:$B$205,PC_Semanal!$I$6:$I$205,$I8,PC_Semanal!$A$6:$A$205,$A10-1),"Mejora",IF($B8&lt;SUMIFS(PC_Semanal!$B$6:$B$205,PC_Semanal!$I$6:$I$205,$I8,PC_Semanal!$A$6:$A$205,$A10-1),"Caída","Igual")))))</f>
        <v>-</v>
      </c>
      <c r="K8" s="11" t="str">
        <f>IF($B8="","",IF($B8&gt;=Inputs!$B$5,"Verde",IF($B8&gt;=Inputs!$B$5*Inputs!$B$8,"Amarillo","Rojo")))</f>
        <v/>
      </c>
      <c r="L8" s="14" t="s">
        <v>20</v>
      </c>
    </row>
    <row r="9">
      <c r="A9" s="9">
        <v>1.0</v>
      </c>
      <c r="B9" s="13"/>
      <c r="C9" s="13"/>
      <c r="D9" s="13"/>
      <c r="E9" s="13"/>
      <c r="F9" s="13"/>
      <c r="G9" s="13"/>
      <c r="H9" s="13"/>
      <c r="I9" s="10" t="s">
        <v>21</v>
      </c>
      <c r="J9" s="11" t="str">
        <f>IF($A9="","-",IF($A9&lt;2,"-",IF(SUMIFS(PC_Semanal!$B$6:$B$205,PC_Semanal!$I$6:$I$205,$I9,PC_Semanal!$A$6:$A$205,$A9-1)=0,"-",IF($B9&gt;SUMIFS(PC_Semanal!$B$6:$B$205,PC_Semanal!$I$6:$I$205,$I9,PC_Semanal!$A$6:$A$205,$A9-1),"Mejora",IF($B9&lt;SUMIFS(PC_Semanal!$B$6:$B$205,PC_Semanal!$I$6:$I$205,$I9,PC_Semanal!$A$6:$A$205,$A9-1),"Caída","Igual")))))</f>
        <v>-</v>
      </c>
      <c r="K9" s="11" t="str">
        <f>IF($B9="","",IF($B9&gt;=Inputs!$B$5,"Verde",IF($B9&gt;=Inputs!$B$5*Inputs!$B$8,"Amarillo","Rojo")))</f>
        <v/>
      </c>
      <c r="L9" s="12" t="s">
        <v>22</v>
      </c>
    </row>
    <row r="10">
      <c r="A10" s="9">
        <v>1.0</v>
      </c>
      <c r="B10" s="13"/>
      <c r="C10" s="13"/>
      <c r="D10" s="13"/>
      <c r="E10" s="13"/>
      <c r="F10" s="13"/>
      <c r="G10" s="13"/>
      <c r="H10" s="13"/>
      <c r="I10" s="10" t="s">
        <v>23</v>
      </c>
      <c r="J10" s="11" t="str">
        <f>IF($A10="","-",IF($A10&lt;2,"-",IF(SUMIFS(PC_Semanal!$B$6:$B$205,PC_Semanal!$I$6:$I$205,$I10,PC_Semanal!$A$6:$A$205,$A10-1)=0,"-",IF($B10&gt;SUMIFS(PC_Semanal!$B$6:$B$205,PC_Semanal!$I$6:$I$205,$I10,PC_Semanal!$A$6:$A$205,$A10-1),"Mejora",IF($B10&lt;SUMIFS(PC_Semanal!$B$6:$B$205,PC_Semanal!$I$6:$I$205,$I10,PC_Semanal!$A$6:$A$205,$A10-1),"Caída","Igual")))))</f>
        <v>-</v>
      </c>
      <c r="K10" s="11" t="str">
        <f>IF($B10="","",IF($B10&gt;=Inputs!$B$5,"Verde",IF($B10&gt;=Inputs!$B$5*Inputs!$B$8,"Amarillo","Rojo")))</f>
        <v/>
      </c>
      <c r="L10" s="14" t="s">
        <v>24</v>
      </c>
    </row>
    <row r="11">
      <c r="A11" s="9">
        <v>1.0</v>
      </c>
      <c r="B11" s="9"/>
      <c r="C11" s="9"/>
      <c r="D11" s="9"/>
      <c r="E11" s="9"/>
      <c r="F11" s="9"/>
      <c r="G11" s="9"/>
      <c r="H11" s="13"/>
      <c r="I11" s="10" t="s">
        <v>25</v>
      </c>
      <c r="J11" s="11" t="str">
        <f>IF($A11="","-",IF($A11&lt;2,"-",IF(SUMIFS(PC_Semanal!$B$6:$B$205,PC_Semanal!$I$6:$I$205,#REF!,PC_Semanal!$A$6:$A$205,$A11-1)=0,"-",IF($B11&gt;SUMIFS(PC_Semanal!$B$6:$B$205,PC_Semanal!$I$6:$I$205,#REF!,PC_Semanal!$A$6:$A$205,$A11-1),"Mejora",IF($B11&lt;SUMIFS(PC_Semanal!$B$6:$B$205,PC_Semanal!$I$6:$I$205,#REF!,PC_Semanal!$A$6:$A$205,$A11-1),"Caída","Igual")))))</f>
        <v>-</v>
      </c>
      <c r="K11" s="11" t="str">
        <f>IF($B11="","",IF($B11&gt;=Inputs!$B$5,"Verde",IF($B11&gt;=Inputs!$B$5*Inputs!$B$8,"Amarillo","Rojo")))</f>
        <v/>
      </c>
      <c r="L11" s="12" t="s">
        <v>22</v>
      </c>
    </row>
    <row r="12">
      <c r="A12" s="9">
        <v>1.0</v>
      </c>
      <c r="B12" s="9"/>
      <c r="C12" s="9"/>
      <c r="D12" s="9"/>
      <c r="E12" s="9"/>
      <c r="F12" s="9"/>
      <c r="G12" s="9"/>
      <c r="H12" s="9"/>
      <c r="I12" s="10" t="s">
        <v>26</v>
      </c>
      <c r="J12" s="11" t="str">
        <f>IF($A12="","-",IF($A12&lt;2,"-",IF(SUMIFS(PC_Semanal!$B$6:$B$205,PC_Semanal!$I$6:$I$205,#REF!,PC_Semanal!$A$6:$A$205,$A12-1)=0,"-",IF($B12&gt;SUMIFS(PC_Semanal!$B$6:$B$205,PC_Semanal!$I$6:$I$205,#REF!,PC_Semanal!$A$6:$A$205,$A12-1),"Mejora",IF($B12&lt;SUMIFS(PC_Semanal!$B$6:$B$205,PC_Semanal!$I$6:$I$205,#REF!,PC_Semanal!$A$6:$A$205,$A12-1),"Caída","Igual")))))</f>
        <v>-</v>
      </c>
      <c r="K12" s="11" t="str">
        <f>IF($B12="","",IF($B12&gt;=Inputs!$B$5,"Verde",IF($B12&gt;=Inputs!$B$5*Inputs!$B$8,"Amarillo","Rojo")))</f>
        <v/>
      </c>
      <c r="L12" s="14" t="s">
        <v>22</v>
      </c>
    </row>
    <row r="13">
      <c r="A13" s="9">
        <v>1.0</v>
      </c>
      <c r="B13" s="9"/>
      <c r="C13" s="9"/>
      <c r="D13" s="9"/>
      <c r="E13" s="9"/>
      <c r="F13" s="9"/>
      <c r="G13" s="9"/>
      <c r="H13" s="13"/>
      <c r="I13" s="10" t="s">
        <v>27</v>
      </c>
      <c r="J13" s="11" t="str">
        <f>IF($A13="","-",IF($A13&lt;2,"-",IF(SUMIFS(PC_Semanal!$B$6:$B$205,PC_Semanal!$I$6:$I$205,#REF!,PC_Semanal!$A$6:$A$205,$A13-1)=0,"-",IF($B13&gt;SUMIFS(PC_Semanal!$B$6:$B$205,PC_Semanal!$I$6:$I$205,#REF!,PC_Semanal!$A$6:$A$205,$A13-1),"Mejora",IF($B13&lt;SUMIFS(PC_Semanal!$B$6:$B$205,PC_Semanal!$I$6:$I$205,#REF!,PC_Semanal!$A$6:$A$205,$A13-1),"Caída","Igual")))))</f>
        <v>-</v>
      </c>
      <c r="K13" s="11" t="str">
        <f>IF($B13="","",IF($B13&gt;=Inputs!$B$5,"Verde",IF($B13&gt;=Inputs!$B$5*Inputs!$B$8,"Amarillo","Rojo")))</f>
        <v/>
      </c>
      <c r="L13" s="12" t="s">
        <v>24</v>
      </c>
    </row>
    <row r="14">
      <c r="A14" s="9">
        <v>1.0</v>
      </c>
      <c r="B14" s="13"/>
      <c r="C14" s="13"/>
      <c r="D14" s="13"/>
      <c r="E14" s="13"/>
      <c r="F14" s="13"/>
      <c r="G14" s="13"/>
      <c r="H14" s="13"/>
      <c r="I14" s="10" t="s">
        <v>28</v>
      </c>
      <c r="J14" s="11" t="str">
        <f>IF($A14="","-",IF($A14&lt;2,"-",IF(SUMIFS(PC_Semanal!$B$6:$B$205,PC_Semanal!$I$6:$I$205,#REF!,PC_Semanal!$A$6:$A$205,$A14-1)=0,"-",IF($B14&gt;SUMIFS(PC_Semanal!$B$6:$B$205,PC_Semanal!$I$6:$I$205,#REF!,PC_Semanal!$A$6:$A$205,$A14-1),"Mejora",IF($B14&lt;SUMIFS(PC_Semanal!$B$6:$B$205,PC_Semanal!$I$6:$I$205,#REF!,PC_Semanal!$A$6:$A$205,$A14-1),"Caída","Igual")))))</f>
        <v>-</v>
      </c>
      <c r="K14" s="11" t="str">
        <f>IF($B14="","",IF($B14&gt;=Inputs!$B$5,"Verde",IF($B14&gt;=Inputs!$B$5*Inputs!$B$8,"Amarillo","Rojo")))</f>
        <v/>
      </c>
      <c r="L14" s="14" t="s">
        <v>29</v>
      </c>
    </row>
    <row r="15">
      <c r="A15" s="9">
        <v>1.0</v>
      </c>
      <c r="B15" s="13"/>
      <c r="C15" s="13"/>
      <c r="D15" s="13"/>
      <c r="E15" s="13"/>
      <c r="F15" s="13"/>
      <c r="G15" s="13"/>
      <c r="H15" s="13"/>
      <c r="I15" s="10" t="s">
        <v>30</v>
      </c>
      <c r="J15" s="11" t="str">
        <f>IF($A15="","-",IF($A15&lt;2,"-",IF(SUMIFS(PC_Semanal!$B$6:$B$205,PC_Semanal!$I$6:$I$205,#REF!,PC_Semanal!$A$6:$A$205,$A15-1)=0,"-",IF($B15&gt;SUMIFS(PC_Semanal!$B$6:$B$205,PC_Semanal!$I$6:$I$205,#REF!,PC_Semanal!$A$6:$A$205,$A15-1),"Mejora",IF($B15&lt;SUMIFS(PC_Semanal!$B$6:$B$205,PC_Semanal!$I$6:$I$205,#REF!,PC_Semanal!$A$6:$A$205,$A15-1),"Caída","Igual")))))</f>
        <v>-</v>
      </c>
      <c r="K15" s="11" t="str">
        <f>IF($B15="","",IF($B15&gt;=Inputs!$B$5,"Verde",IF($B15&gt;=Inputs!$B$5*Inputs!$B$8,"Amarillo","Rojo")))</f>
        <v/>
      </c>
      <c r="L15" s="12" t="s">
        <v>22</v>
      </c>
    </row>
    <row r="16">
      <c r="A16" s="9">
        <v>1.0</v>
      </c>
      <c r="B16" s="13"/>
      <c r="C16" s="13"/>
      <c r="D16" s="13"/>
      <c r="E16" s="13"/>
      <c r="F16" s="13"/>
      <c r="G16" s="13"/>
      <c r="H16" s="13"/>
      <c r="I16" s="10" t="s">
        <v>31</v>
      </c>
      <c r="J16" s="11" t="str">
        <f>IF($A16="","-",IF($A16&lt;2,"-",IF(SUMIFS(PC_Semanal!$B$6:$B$205,PC_Semanal!$I$6:$I$205,#REF!,PC_Semanal!$A$6:$A$205,$A16-1)=0,"-",IF($B16&gt;SUMIFS(PC_Semanal!$B$6:$B$205,PC_Semanal!$I$6:$I$205,#REF!,PC_Semanal!$A$6:$A$205,$A16-1),"Mejora",IF($B16&lt;SUMIFS(PC_Semanal!$B$6:$B$205,PC_Semanal!$I$6:$I$205,#REF!,PC_Semanal!$A$6:$A$205,$A16-1),"Caída","Igual")))))</f>
        <v>-</v>
      </c>
      <c r="K16" s="11" t="str">
        <f>IF($B16="","",IF($B16&gt;=Inputs!$B$5,"Verde",IF($B16&gt;=Inputs!$B$5*Inputs!$B$8,"Amarillo","Rojo")))</f>
        <v/>
      </c>
      <c r="L16" s="14" t="s">
        <v>32</v>
      </c>
    </row>
    <row r="17">
      <c r="A17" s="9">
        <v>1.0</v>
      </c>
      <c r="B17" s="13"/>
      <c r="C17" s="13"/>
      <c r="D17" s="13"/>
      <c r="E17" s="13"/>
      <c r="F17" s="13"/>
      <c r="G17" s="13"/>
      <c r="H17" s="13"/>
      <c r="I17" s="10" t="s">
        <v>33</v>
      </c>
      <c r="J17" s="11" t="str">
        <f>IF($A17="","-",IF($A17&lt;2,"-",IF(SUMIFS(PC_Semanal!$B$6:$B$205,PC_Semanal!$I$6:$I$205,$I17,PC_Semanal!$A$6:$A$205,$A17-1)=0,"-",IF($B17&gt;SUMIFS(PC_Semanal!$B$6:$B$205,PC_Semanal!$I$6:$I$205,$I17,PC_Semanal!$A$6:$A$205,$A17-1),"Mejora",IF($B17&lt;SUMIFS(PC_Semanal!$B$6:$B$205,PC_Semanal!$I$6:$I$205,$I17,PC_Semanal!$A$6:$A$205,$A17-1),"Caída","Igual")))))</f>
        <v>-</v>
      </c>
      <c r="K17" s="11" t="str">
        <f>IF($B17="","",IF($B17&gt;=Inputs!$B$5,"Verde",IF($B17&gt;=Inputs!$B$5*Inputs!$B$8,"Amarillo","Rojo")))</f>
        <v/>
      </c>
      <c r="L17" s="12" t="s">
        <v>22</v>
      </c>
    </row>
    <row r="18">
      <c r="A18" s="9">
        <v>1.0</v>
      </c>
      <c r="B18" s="13"/>
      <c r="C18" s="13"/>
      <c r="D18" s="13"/>
      <c r="E18" s="13"/>
      <c r="F18" s="13"/>
      <c r="G18" s="13"/>
      <c r="H18" s="13"/>
      <c r="I18" s="10" t="s">
        <v>34</v>
      </c>
      <c r="J18" s="11" t="str">
        <f>IF($A18="","-",IF($A18&lt;2,"-",IF(SUMIFS(PC_Semanal!$B$6:$B$205,PC_Semanal!$I$6:$I$205,#REF!,PC_Semanal!$A$6:$A$205,$A18-1)=0,"-",IF($B18&gt;SUMIFS(PC_Semanal!$B$6:$B$205,PC_Semanal!$I$6:$I$205,#REF!,PC_Semanal!$A$6:$A$205,$A18-1),"Mejora",IF($B18&lt;SUMIFS(PC_Semanal!$B$6:$B$205,PC_Semanal!$I$6:$I$205,#REF!,PC_Semanal!$A$6:$A$205,$A18-1),"Caída","Igual")))))</f>
        <v>-</v>
      </c>
      <c r="K18" s="11" t="str">
        <f>IF($B18="","",IF($B18&gt;=Inputs!$B$5,"Verde",IF($B18&gt;=Inputs!$B$5*Inputs!$B$8,"Amarillo","Rojo")))</f>
        <v/>
      </c>
      <c r="L18" s="14" t="s">
        <v>16</v>
      </c>
    </row>
    <row r="19">
      <c r="A19" s="9">
        <v>1.0</v>
      </c>
      <c r="B19" s="13"/>
      <c r="C19" s="13"/>
      <c r="D19" s="13"/>
      <c r="E19" s="13"/>
      <c r="F19" s="13"/>
      <c r="G19" s="13"/>
      <c r="H19" s="13"/>
      <c r="I19" s="10" t="s">
        <v>35</v>
      </c>
      <c r="J19" s="11" t="str">
        <f>IF($A21="","-",IF($A21&lt;2,"-",IF(SUMIFS(PC_Semanal!$B$6:$B$205,PC_Semanal!$I$6:$I$205,$I19,PC_Semanal!$A$6:$A$205,$A21-1)=0,"-",IF($B19&gt;SUMIFS(PC_Semanal!$B$6:$B$205,PC_Semanal!$I$6:$I$205,$I19,PC_Semanal!$A$6:$A$205,$A21-1),"Mejora",IF($B19&lt;SUMIFS(PC_Semanal!$B$6:$B$205,PC_Semanal!$I$6:$I$205,$I19,PC_Semanal!$A$6:$A$205,$A21-1),"Caída","Igual")))))</f>
        <v>-</v>
      </c>
      <c r="K19" s="11" t="str">
        <f>IF($B19="","",IF($B19&gt;=Inputs!$B$5,"Verde",IF($B19&gt;=Inputs!$B$5*Inputs!$B$8,"Amarillo","Rojo")))</f>
        <v/>
      </c>
      <c r="L19" s="12" t="s">
        <v>22</v>
      </c>
    </row>
    <row r="20">
      <c r="A20" s="9">
        <v>1.0</v>
      </c>
      <c r="B20" s="13"/>
      <c r="C20" s="13"/>
      <c r="D20" s="13"/>
      <c r="E20" s="13"/>
      <c r="F20" s="13"/>
      <c r="G20" s="13"/>
      <c r="H20" s="13"/>
      <c r="I20" s="10" t="s">
        <v>36</v>
      </c>
      <c r="J20" s="11" t="str">
        <f>IF($A20="","-",IF($A20&lt;2,"-",IF(SUMIFS(PC_Semanal!$B$6:$B$205,PC_Semanal!$I$6:$I$205,$I20,PC_Semanal!$A$6:$A$205,$A20-1)=0,"-",IF($B20&gt;SUMIFS(PC_Semanal!$B$6:$B$205,PC_Semanal!$I$6:$I$205,$I20,PC_Semanal!$A$6:$A$205,$A20-1),"Mejora",IF($B20&lt;SUMIFS(PC_Semanal!$B$6:$B$205,PC_Semanal!$I$6:$I$205,$I20,PC_Semanal!$A$6:$A$205,$A20-1),"Caída","Igual")))))</f>
        <v>-</v>
      </c>
      <c r="K20" s="11" t="str">
        <f>IF($B20="","",IF($B20&gt;=Inputs!$B$5,"Verde",IF($B20&gt;=Inputs!$B$5*Inputs!$B$8,"Amarillo","Rojo")))</f>
        <v/>
      </c>
      <c r="L20" s="14" t="s">
        <v>32</v>
      </c>
    </row>
    <row r="21" ht="15.75" customHeight="1">
      <c r="A21" s="9">
        <v>1.0</v>
      </c>
      <c r="B21" s="13"/>
      <c r="C21" s="13"/>
      <c r="D21" s="13"/>
      <c r="E21" s="13"/>
      <c r="F21" s="13"/>
      <c r="G21" s="13"/>
      <c r="H21" s="13"/>
      <c r="I21" s="10" t="s">
        <v>37</v>
      </c>
      <c r="J21" s="11" t="str">
        <f>IF($A23="","-",IF($A23&lt;2,"-",IF(SUMIFS(PC_Semanal!$B$6:$B$205,PC_Semanal!$I$6:$I$205,$I21,PC_Semanal!$A$6:$A$205,$A23-1)=0,"-",IF($B21&gt;SUMIFS(PC_Semanal!$B$6:$B$205,PC_Semanal!$I$6:$I$205,$I21,PC_Semanal!$A$6:$A$205,$A23-1),"Mejora",IF($B21&lt;SUMIFS(PC_Semanal!$B$6:$B$205,PC_Semanal!$I$6:$I$205,$I21,PC_Semanal!$A$6:$A$205,$A23-1),"Caída","Igual")))))</f>
        <v>-</v>
      </c>
      <c r="K21" s="11" t="str">
        <f>IF($B21="","",IF($B21&gt;=Inputs!$B$5,"Verde",IF($B21&gt;=Inputs!$B$5*Inputs!$B$8,"Amarillo","Rojo")))</f>
        <v/>
      </c>
      <c r="L21" s="12" t="s">
        <v>16</v>
      </c>
    </row>
    <row r="22" ht="15.75" customHeight="1">
      <c r="A22" s="9">
        <v>1.0</v>
      </c>
      <c r="B22" s="13"/>
      <c r="C22" s="13"/>
      <c r="D22" s="13"/>
      <c r="E22" s="13"/>
      <c r="F22" s="13"/>
      <c r="G22" s="13"/>
      <c r="H22" s="13"/>
      <c r="I22" s="10" t="s">
        <v>38</v>
      </c>
      <c r="J22" s="11" t="str">
        <f>IF($A22="","-",IF($A22&lt;2,"-",IF(SUMIFS(PC_Semanal!$B$6:$B$205,PC_Semanal!$I$6:$I$205,#REF!,PC_Semanal!$A$6:$A$205,$A22-1)=0,"-",IF($B22&gt;SUMIFS(PC_Semanal!$B$6:$B$205,PC_Semanal!$I$6:$I$205,#REF!,PC_Semanal!$A$6:$A$205,$A22-1),"Mejora",IF($B22&lt;SUMIFS(PC_Semanal!$B$6:$B$205,PC_Semanal!$I$6:$I$205,#REF!,PC_Semanal!$A$6:$A$205,$A22-1),"Caída","Igual")))))</f>
        <v>-</v>
      </c>
      <c r="K22" s="11" t="str">
        <f>IF($B22="","",IF($B22&gt;=Inputs!$B$5,"Verde",IF($B22&gt;=Inputs!$B$5*Inputs!$B$8,"Amarillo","Rojo")))</f>
        <v/>
      </c>
      <c r="L22" s="14" t="s">
        <v>18</v>
      </c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0" t="s">
        <v>39</v>
      </c>
      <c r="J23" s="11" t="str">
        <f>IF($A23="","-",IF($A23&lt;2,"-",IF(SUMIFS(PC_Semanal!$B$6:$B$205,PC_Semanal!$I$6:$I$205,$I23,PC_Semanal!$A$6:$A$205,$A23-1)=0,"-",IF($B23&gt;SUMIFS(PC_Semanal!$B$6:$B$205,PC_Semanal!$I$6:$I$205,$I23,PC_Semanal!$A$6:$A$205,$A23-1),"Mejora",IF($B23&lt;SUMIFS(PC_Semanal!$B$6:$B$205,PC_Semanal!$I$6:$I$205,$I23,PC_Semanal!$A$6:$A$205,$A23-1),"Caída","Igual")))))</f>
        <v>-</v>
      </c>
      <c r="K23" s="11" t="str">
        <f>IF($B23="","",IF($B23&gt;=Inputs!$B$5,"Verde",IF($B23&gt;=Inputs!$B$5*Inputs!$B$8,"Amarillo","Rojo")))</f>
        <v/>
      </c>
      <c r="L23" s="12" t="s">
        <v>40</v>
      </c>
    </row>
    <row r="24" ht="15.75" customHeight="1">
      <c r="A24" s="9">
        <v>1.0</v>
      </c>
      <c r="B24" s="13"/>
      <c r="C24" s="13"/>
      <c r="D24" s="13"/>
      <c r="E24" s="13"/>
      <c r="F24" s="13"/>
      <c r="G24" s="13"/>
      <c r="H24" s="13"/>
      <c r="I24" s="10" t="s">
        <v>41</v>
      </c>
      <c r="J24" s="11" t="str">
        <f>IF($A24="","-",IF($A24&lt;2,"-",IF(SUMIFS(PC_Semanal!$B$6:$B$205,PC_Semanal!$I$6:$I$205,#REF!,PC_Semanal!$A$6:$A$205,$A24-1)=0,"-",IF($B24&gt;SUMIFS(PC_Semanal!$B$6:$B$205,PC_Semanal!$I$6:$I$205,#REF!,PC_Semanal!$A$6:$A$205,$A24-1),"Mejora",IF($B24&lt;SUMIFS(PC_Semanal!$B$6:$B$205,PC_Semanal!$I$6:$I$205,#REF!,PC_Semanal!$A$6:$A$205,$A24-1),"Caída","Igual")))))</f>
        <v>-</v>
      </c>
      <c r="K24" s="11" t="str">
        <f>IF($B24="","",IF($B24&gt;=Inputs!$B$5,"Verde",IF($B24&gt;=Inputs!$B$5*Inputs!$B$8,"Amarillo","Rojo")))</f>
        <v/>
      </c>
      <c r="L24" s="14" t="s">
        <v>42</v>
      </c>
    </row>
    <row r="25" ht="15.75" customHeight="1">
      <c r="A25" s="9">
        <v>1.0</v>
      </c>
      <c r="B25" s="13"/>
      <c r="C25" s="13"/>
      <c r="D25" s="13"/>
      <c r="E25" s="13"/>
      <c r="F25" s="13"/>
      <c r="G25" s="13"/>
      <c r="H25" s="13"/>
      <c r="I25" s="10" t="s">
        <v>43</v>
      </c>
      <c r="J25" s="11" t="str">
        <f>IF($A27="","-",IF($A27&lt;2,"-",IF(SUMIFS(PC_Semanal!$B$6:$B$205,PC_Semanal!$I$6:$I$205,$I25,PC_Semanal!$A$6:$A$205,$A27-1)=0,"-",IF($B25&gt;SUMIFS(PC_Semanal!$B$6:$B$205,PC_Semanal!$I$6:$I$205,$I25,PC_Semanal!$A$6:$A$205,$A27-1),"Mejora",IF($B25&lt;SUMIFS(PC_Semanal!$B$6:$B$205,PC_Semanal!$I$6:$I$205,$I25,PC_Semanal!$A$6:$A$205,$A27-1),"Caída","Igual")))))</f>
        <v>-</v>
      </c>
      <c r="K25" s="11" t="str">
        <f>IF($B25="","",IF($B25&gt;=Inputs!$B$5,"Verde",IF($B25&gt;=Inputs!$B$5*Inputs!$B$8,"Amarillo","Rojo")))</f>
        <v/>
      </c>
      <c r="L25" s="12" t="s">
        <v>24</v>
      </c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0" t="s">
        <v>44</v>
      </c>
      <c r="J26" s="11" t="str">
        <f>IF($A28="","-",IF($A28&lt;2,"-",IF(SUMIFS(PC_Semanal!$B$6:$B$205,PC_Semanal!$I$6:$I$205,$I26,PC_Semanal!$A$6:$A$205,$A28-1)=0,"-",IF($B26&gt;SUMIFS(PC_Semanal!$B$6:$B$205,PC_Semanal!$I$6:$I$205,$I26,PC_Semanal!$A$6:$A$205,$A28-1),"Mejora",IF($B26&lt;SUMIFS(PC_Semanal!$B$6:$B$205,PC_Semanal!$I$6:$I$205,$I26,PC_Semanal!$A$6:$A$205,$A28-1),"Caída","Igual")))))</f>
        <v>-</v>
      </c>
      <c r="K26" s="11" t="str">
        <f>IF($B26="","",IF($B26&gt;=Inputs!$B$5,"Verde",IF($B26&gt;=Inputs!$B$5*Inputs!$B$8,"Amarillo","Rojo")))</f>
        <v/>
      </c>
      <c r="L26" s="14" t="s">
        <v>29</v>
      </c>
    </row>
    <row r="27" ht="15.75" customHeight="1">
      <c r="A27" s="9">
        <v>1.0</v>
      </c>
      <c r="B27" s="13"/>
      <c r="C27" s="13"/>
      <c r="D27" s="13"/>
      <c r="E27" s="13"/>
      <c r="F27" s="13"/>
      <c r="G27" s="13"/>
      <c r="H27" s="13"/>
      <c r="I27" s="10" t="s">
        <v>45</v>
      </c>
      <c r="J27" s="11" t="str">
        <f>IF($A27="","-",IF($A27&lt;2,"-",IF(SUMIFS(PC_Semanal!$B$6:$B$205,PC_Semanal!$I$6:$I$205,#REF!,PC_Semanal!$A$6:$A$205,$A27-1)=0,"-",IF($B27&gt;SUMIFS(PC_Semanal!$B$6:$B$205,PC_Semanal!$I$6:$I$205,#REF!,PC_Semanal!$A$6:$A$205,$A27-1),"Mejora",IF($B27&lt;SUMIFS(PC_Semanal!$B$6:$B$205,PC_Semanal!$I$6:$I$205,#REF!,PC_Semanal!$A$6:$A$205,$A27-1),"Caída","Igual")))))</f>
        <v>-</v>
      </c>
      <c r="K27" s="11" t="str">
        <f>IF($B27="","",IF($B27&gt;=Inputs!$B$5,"Verde",IF($B27&gt;=Inputs!$B$5*Inputs!$B$8,"Amarillo","Rojo")))</f>
        <v/>
      </c>
      <c r="L27" s="12" t="s">
        <v>24</v>
      </c>
    </row>
    <row r="28" ht="15.75" customHeight="1">
      <c r="A28" s="9">
        <v>1.0</v>
      </c>
      <c r="B28" s="13"/>
      <c r="C28" s="13"/>
      <c r="D28" s="13"/>
      <c r="E28" s="13"/>
      <c r="F28" s="13"/>
      <c r="G28" s="13"/>
      <c r="H28" s="13"/>
      <c r="I28" s="10" t="s">
        <v>46</v>
      </c>
      <c r="J28" s="11" t="str">
        <f>IF($A28="","-",IF($A28&lt;2,"-",IF(SUMIFS(PC_Semanal!$B$6:$B$205,PC_Semanal!$I$6:$I$205,#REF!,PC_Semanal!$A$6:$A$205,$A28-1)=0,"-",IF($B28&gt;SUMIFS(PC_Semanal!$B$6:$B$205,PC_Semanal!$I$6:$I$205,#REF!,PC_Semanal!$A$6:$A$205,$A28-1),"Mejora",IF($B28&lt;SUMIFS(PC_Semanal!$B$6:$B$205,PC_Semanal!$I$6:$I$205,#REF!,PC_Semanal!$A$6:$A$205,$A28-1),"Caída","Igual")))))</f>
        <v>-</v>
      </c>
      <c r="K28" s="11" t="str">
        <f>IF($B28="","",IF($B28&gt;=Inputs!$B$5,"Verde",IF($B28&gt;=Inputs!$B$5*Inputs!$B$8,"Amarillo","Rojo")))</f>
        <v/>
      </c>
      <c r="L28" s="14" t="s">
        <v>29</v>
      </c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5"/>
      <c r="J29" s="11" t="str">
        <f>IF($A29="","-",IF($A29&lt;2,"-",IF(SUMIFS(PC_Semanal!$B$6:$B$205,PC_Semanal!$I$6:$I$205,$I29,PC_Semanal!$A$6:$A$205,$A29-1)=0,"-",IF($B29&gt;SUMIFS(PC_Semanal!$B$6:$B$205,PC_Semanal!$I$6:$I$205,$I29,PC_Semanal!$A$6:$A$205,$A29-1),"Mejora",IF($B29&lt;SUMIFS(PC_Semanal!$B$6:$B$205,PC_Semanal!$I$6:$I$205,$I29,PC_Semanal!$A$6:$A$205,$A29-1),"Caída","Igual")))))</f>
        <v>-</v>
      </c>
      <c r="K29" s="11" t="str">
        <f>IF($B29="","",IF($B29&gt;=Inputs!$B$5,"Verde",IF($B29&gt;=Inputs!$B$5*Inputs!$B$8,"Amarillo","Rojo")))</f>
        <v/>
      </c>
      <c r="L29" s="16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5"/>
      <c r="J30" s="11" t="str">
        <f>IF($A30="","-",IF($A30&lt;2,"-",IF(SUMIFS(PC_Semanal!$B$6:$B$205,PC_Semanal!$I$6:$I$205,$I30,PC_Semanal!$A$6:$A$205,$A30-1)=0,"-",IF($B30&gt;SUMIFS(PC_Semanal!$B$6:$B$205,PC_Semanal!$I$6:$I$205,$I30,PC_Semanal!$A$6:$A$205,$A30-1),"Mejora",IF($B30&lt;SUMIFS(PC_Semanal!$B$6:$B$205,PC_Semanal!$I$6:$I$205,$I30,PC_Semanal!$A$6:$A$205,$A30-1),"Caída","Igual")))))</f>
        <v>-</v>
      </c>
      <c r="K30" s="11" t="str">
        <f>IF($B30="","",IF($B30&gt;=Inputs!$B$5,"Verde",IF($B30&gt;=Inputs!$B$5*Inputs!$B$8,"Amarillo","Rojo")))</f>
        <v/>
      </c>
      <c r="L30" s="17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5"/>
      <c r="J31" s="11" t="str">
        <f>IF($A31="","-",IF($A31&lt;2,"-",IF(SUMIFS(PC_Semanal!$B$6:$B$205,PC_Semanal!$I$6:$I$205,$I31,PC_Semanal!$A$6:$A$205,$A31-1)=0,"-",IF($B31&gt;SUMIFS(PC_Semanal!$B$6:$B$205,PC_Semanal!$I$6:$I$205,$I31,PC_Semanal!$A$6:$A$205,$A31-1),"Mejora",IF($B31&lt;SUMIFS(PC_Semanal!$B$6:$B$205,PC_Semanal!$I$6:$I$205,$I31,PC_Semanal!$A$6:$A$205,$A31-1),"Caída","Igual")))))</f>
        <v>-</v>
      </c>
      <c r="K31" s="11" t="str">
        <f>IF($B31="","",IF($B31&gt;=Inputs!$B$5,"Verde",IF($B31&gt;=Inputs!$B$5*Inputs!$B$8,"Amarillo","Rojo")))</f>
        <v/>
      </c>
      <c r="L31" s="16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5"/>
      <c r="J32" s="11" t="str">
        <f>IF($A32="","-",IF($A32&lt;2,"-",IF(SUMIFS(PC_Semanal!$B$6:$B$205,PC_Semanal!$I$6:$I$205,$I32,PC_Semanal!$A$6:$A$205,$A32-1)=0,"-",IF($B32&gt;SUMIFS(PC_Semanal!$B$6:$B$205,PC_Semanal!$I$6:$I$205,$I32,PC_Semanal!$A$6:$A$205,$A32-1),"Mejora",IF($B32&lt;SUMIFS(PC_Semanal!$B$6:$B$205,PC_Semanal!$I$6:$I$205,$I32,PC_Semanal!$A$6:$A$205,$A32-1),"Caída","Igual")))))</f>
        <v>-</v>
      </c>
      <c r="K32" s="11" t="str">
        <f>IF($B32="","",IF($B32&gt;=Inputs!$B$5,"Verde",IF($B32&gt;=Inputs!$B$5*Inputs!$B$8,"Amarillo","Rojo")))</f>
        <v/>
      </c>
      <c r="L32" s="17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5"/>
      <c r="J33" s="11" t="str">
        <f>IF($A33="","-",IF($A33&lt;2,"-",IF(SUMIFS(PC_Semanal!$B$6:$B$205,PC_Semanal!$I$6:$I$205,$I33,PC_Semanal!$A$6:$A$205,$A33-1)=0,"-",IF($B33&gt;SUMIFS(PC_Semanal!$B$6:$B$205,PC_Semanal!$I$6:$I$205,$I33,PC_Semanal!$A$6:$A$205,$A33-1),"Mejora",IF($B33&lt;SUMIFS(PC_Semanal!$B$6:$B$205,PC_Semanal!$I$6:$I$205,$I33,PC_Semanal!$A$6:$A$205,$A33-1),"Caída","Igual")))))</f>
        <v>-</v>
      </c>
      <c r="K33" s="11" t="str">
        <f>IF($B33="","",IF($B33&gt;=Inputs!$B$5,"Verde",IF($B33&gt;=Inputs!$B$5*Inputs!$B$8,"Amarillo","Rojo")))</f>
        <v/>
      </c>
      <c r="L33" s="16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5"/>
      <c r="J34" s="11" t="str">
        <f>IF($A34="","-",IF($A34&lt;2,"-",IF(SUMIFS(PC_Semanal!$B$6:$B$205,PC_Semanal!$I$6:$I$205,$I34,PC_Semanal!$A$6:$A$205,$A34-1)=0,"-",IF($B34&gt;SUMIFS(PC_Semanal!$B$6:$B$205,PC_Semanal!$I$6:$I$205,$I34,PC_Semanal!$A$6:$A$205,$A34-1),"Mejora",IF($B34&lt;SUMIFS(PC_Semanal!$B$6:$B$205,PC_Semanal!$I$6:$I$205,$I34,PC_Semanal!$A$6:$A$205,$A34-1),"Caída","Igual")))))</f>
        <v>-</v>
      </c>
      <c r="K34" s="11" t="str">
        <f>IF($B34="","",IF($B34&gt;=Inputs!$B$5,"Verde",IF($B34&gt;=Inputs!$B$5*Inputs!$B$8,"Amarillo","Rojo")))</f>
        <v/>
      </c>
      <c r="L34" s="17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5"/>
      <c r="J35" s="11" t="str">
        <f>IF($A35="","-",IF($A35&lt;2,"-",IF(SUMIFS(PC_Semanal!$B$6:$B$205,PC_Semanal!$I$6:$I$205,$I35,PC_Semanal!$A$6:$A$205,$A35-1)=0,"-",IF($B35&gt;SUMIFS(PC_Semanal!$B$6:$B$205,PC_Semanal!$I$6:$I$205,$I35,PC_Semanal!$A$6:$A$205,$A35-1),"Mejora",IF($B35&lt;SUMIFS(PC_Semanal!$B$6:$B$205,PC_Semanal!$I$6:$I$205,$I35,PC_Semanal!$A$6:$A$205,$A35-1),"Caída","Igual")))))</f>
        <v>-</v>
      </c>
      <c r="K35" s="11" t="str">
        <f>IF($B35="","",IF($B35&gt;=Inputs!$B$5,"Verde",IF($B35&gt;=Inputs!$B$5*Inputs!$B$8,"Amarillo","Rojo")))</f>
        <v/>
      </c>
      <c r="L35" s="16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5"/>
      <c r="J36" s="11" t="str">
        <f>IF($A36="","-",IF($A36&lt;2,"-",IF(SUMIFS(PC_Semanal!$B$6:$B$205,PC_Semanal!$I$6:$I$205,$I36,PC_Semanal!$A$6:$A$205,$A36-1)=0,"-",IF($B36&gt;SUMIFS(PC_Semanal!$B$6:$B$205,PC_Semanal!$I$6:$I$205,$I36,PC_Semanal!$A$6:$A$205,$A36-1),"Mejora",IF($B36&lt;SUMIFS(PC_Semanal!$B$6:$B$205,PC_Semanal!$I$6:$I$205,$I36,PC_Semanal!$A$6:$A$205,$A36-1),"Caída","Igual")))))</f>
        <v>-</v>
      </c>
      <c r="K36" s="11" t="str">
        <f>IF($B36="","",IF($B36&gt;=Inputs!$B$5,"Verde",IF($B36&gt;=Inputs!$B$5*Inputs!$B$8,"Amarillo","Rojo")))</f>
        <v/>
      </c>
      <c r="L36" s="17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5"/>
      <c r="J37" s="11" t="str">
        <f>IF($A37="","-",IF($A37&lt;2,"-",IF(SUMIFS(PC_Semanal!$B$6:$B$205,PC_Semanal!$I$6:$I$205,$I37,PC_Semanal!$A$6:$A$205,$A37-1)=0,"-",IF($B37&gt;SUMIFS(PC_Semanal!$B$6:$B$205,PC_Semanal!$I$6:$I$205,$I37,PC_Semanal!$A$6:$A$205,$A37-1),"Mejora",IF($B37&lt;SUMIFS(PC_Semanal!$B$6:$B$205,PC_Semanal!$I$6:$I$205,$I37,PC_Semanal!$A$6:$A$205,$A37-1),"Caída","Igual")))))</f>
        <v>-</v>
      </c>
      <c r="K37" s="11" t="str">
        <f>IF($B37="","",IF($B37&gt;=Inputs!$B$5,"Verde",IF($B37&gt;=Inputs!$B$5*Inputs!$B$8,"Amarillo","Rojo")))</f>
        <v/>
      </c>
      <c r="L37" s="16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5"/>
      <c r="J38" s="11" t="str">
        <f>IF($A38="","-",IF($A38&lt;2,"-",IF(SUMIFS(PC_Semanal!$B$6:$B$205,PC_Semanal!$I$6:$I$205,$I38,PC_Semanal!$A$6:$A$205,$A38-1)=0,"-",IF($B38&gt;SUMIFS(PC_Semanal!$B$6:$B$205,PC_Semanal!$I$6:$I$205,$I38,PC_Semanal!$A$6:$A$205,$A38-1),"Mejora",IF($B38&lt;SUMIFS(PC_Semanal!$B$6:$B$205,PC_Semanal!$I$6:$I$205,$I38,PC_Semanal!$A$6:$A$205,$A38-1),"Caída","Igual")))))</f>
        <v>-</v>
      </c>
      <c r="K38" s="11" t="str">
        <f>IF($B38="","",IF($B38&gt;=Inputs!$B$5,"Verde",IF($B38&gt;=Inputs!$B$5*Inputs!$B$8,"Amarillo","Rojo")))</f>
        <v/>
      </c>
      <c r="L38" s="17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5"/>
      <c r="J39" s="11" t="str">
        <f>IF($A39="","-",IF($A39&lt;2,"-",IF(SUMIFS(PC_Semanal!$B$6:$B$205,PC_Semanal!$I$6:$I$205,$I39,PC_Semanal!$A$6:$A$205,$A39-1)=0,"-",IF($B39&gt;SUMIFS(PC_Semanal!$B$6:$B$205,PC_Semanal!$I$6:$I$205,$I39,PC_Semanal!$A$6:$A$205,$A39-1),"Mejora",IF($B39&lt;SUMIFS(PC_Semanal!$B$6:$B$205,PC_Semanal!$I$6:$I$205,$I39,PC_Semanal!$A$6:$A$205,$A39-1),"Caída","Igual")))))</f>
        <v>-</v>
      </c>
      <c r="K39" s="11" t="str">
        <f>IF($B39="","",IF($B39&gt;=Inputs!$B$5,"Verde",IF($B39&gt;=Inputs!$B$5*Inputs!$B$8,"Amarillo","Rojo")))</f>
        <v/>
      </c>
      <c r="L39" s="16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5"/>
      <c r="J40" s="11" t="str">
        <f>IF($A40="","-",IF($A40&lt;2,"-",IF(SUMIFS(PC_Semanal!$B$6:$B$205,PC_Semanal!$I$6:$I$205,$I40,PC_Semanal!$A$6:$A$205,$A40-1)=0,"-",IF($B40&gt;SUMIFS(PC_Semanal!$B$6:$B$205,PC_Semanal!$I$6:$I$205,$I40,PC_Semanal!$A$6:$A$205,$A40-1),"Mejora",IF($B40&lt;SUMIFS(PC_Semanal!$B$6:$B$205,PC_Semanal!$I$6:$I$205,$I40,PC_Semanal!$A$6:$A$205,$A40-1),"Caída","Igual")))))</f>
        <v>-</v>
      </c>
      <c r="K40" s="11" t="str">
        <f>IF($B40="","",IF($B40&gt;=Inputs!$B$5,"Verde",IF($B40&gt;=Inputs!$B$5*Inputs!$B$8,"Amarillo","Rojo")))</f>
        <v/>
      </c>
      <c r="L40" s="17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5"/>
      <c r="J41" s="11" t="str">
        <f>IF($A41="","-",IF($A41&lt;2,"-",IF(SUMIFS(PC_Semanal!$B$6:$B$205,PC_Semanal!$I$6:$I$205,$I41,PC_Semanal!$A$6:$A$205,$A41-1)=0,"-",IF($B41&gt;SUMIFS(PC_Semanal!$B$6:$B$205,PC_Semanal!$I$6:$I$205,$I41,PC_Semanal!$A$6:$A$205,$A41-1),"Mejora",IF($B41&lt;SUMIFS(PC_Semanal!$B$6:$B$205,PC_Semanal!$I$6:$I$205,$I41,PC_Semanal!$A$6:$A$205,$A41-1),"Caída","Igual")))))</f>
        <v>-</v>
      </c>
      <c r="K41" s="11" t="str">
        <f>IF($B41="","",IF($B41&gt;=Inputs!$B$5,"Verde",IF($B41&gt;=Inputs!$B$5*Inputs!$B$8,"Amarillo","Rojo")))</f>
        <v/>
      </c>
      <c r="L41" s="16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5"/>
      <c r="J42" s="11" t="str">
        <f>IF($A42="","-",IF($A42&lt;2,"-",IF(SUMIFS(PC_Semanal!$B$6:$B$205,PC_Semanal!$I$6:$I$205,$I42,PC_Semanal!$A$6:$A$205,$A42-1)=0,"-",IF($B42&gt;SUMIFS(PC_Semanal!$B$6:$B$205,PC_Semanal!$I$6:$I$205,$I42,PC_Semanal!$A$6:$A$205,$A42-1),"Mejora",IF($B42&lt;SUMIFS(PC_Semanal!$B$6:$B$205,PC_Semanal!$I$6:$I$205,$I42,PC_Semanal!$A$6:$A$205,$A42-1),"Caída","Igual")))))</f>
        <v>-</v>
      </c>
      <c r="K42" s="11" t="str">
        <f>IF($B42="","",IF($B42&gt;=Inputs!$B$5,"Verde",IF($B42&gt;=Inputs!$B$5*Inputs!$B$8,"Amarillo","Rojo")))</f>
        <v/>
      </c>
      <c r="L42" s="17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5"/>
      <c r="J43" s="11" t="str">
        <f>IF($A43="","-",IF($A43&lt;2,"-",IF(SUMIFS(PC_Semanal!$B$6:$B$205,PC_Semanal!$I$6:$I$205,$I43,PC_Semanal!$A$6:$A$205,$A43-1)=0,"-",IF($B43&gt;SUMIFS(PC_Semanal!$B$6:$B$205,PC_Semanal!$I$6:$I$205,$I43,PC_Semanal!$A$6:$A$205,$A43-1),"Mejora",IF($B43&lt;SUMIFS(PC_Semanal!$B$6:$B$205,PC_Semanal!$I$6:$I$205,$I43,PC_Semanal!$A$6:$A$205,$A43-1),"Caída","Igual")))))</f>
        <v>-</v>
      </c>
      <c r="K43" s="11" t="str">
        <f>IF($B43="","",IF($B43&gt;=Inputs!$B$5,"Verde",IF($B43&gt;=Inputs!$B$5*Inputs!$B$8,"Amarillo","Rojo")))</f>
        <v/>
      </c>
      <c r="L43" s="16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5"/>
      <c r="J44" s="11" t="str">
        <f>IF($A44="","-",IF($A44&lt;2,"-",IF(SUMIFS(PC_Semanal!$B$6:$B$205,PC_Semanal!$I$6:$I$205,$I44,PC_Semanal!$A$6:$A$205,$A44-1)=0,"-",IF($B44&gt;SUMIFS(PC_Semanal!$B$6:$B$205,PC_Semanal!$I$6:$I$205,$I44,PC_Semanal!$A$6:$A$205,$A44-1),"Mejora",IF($B44&lt;SUMIFS(PC_Semanal!$B$6:$B$205,PC_Semanal!$I$6:$I$205,$I44,PC_Semanal!$A$6:$A$205,$A44-1),"Caída","Igual")))))</f>
        <v>-</v>
      </c>
      <c r="K44" s="11" t="str">
        <f>IF($B44="","",IF($B44&gt;=Inputs!$B$5,"Verde",IF($B44&gt;=Inputs!$B$5*Inputs!$B$8,"Amarillo","Rojo")))</f>
        <v/>
      </c>
      <c r="L44" s="17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5"/>
      <c r="J45" s="11" t="str">
        <f>IF($A45="","-",IF($A45&lt;2,"-",IF(SUMIFS(PC_Semanal!$B$6:$B$205,PC_Semanal!$I$6:$I$205,$I45,PC_Semanal!$A$6:$A$205,$A45-1)=0,"-",IF($B45&gt;SUMIFS(PC_Semanal!$B$6:$B$205,PC_Semanal!$I$6:$I$205,$I45,PC_Semanal!$A$6:$A$205,$A45-1),"Mejora",IF($B45&lt;SUMIFS(PC_Semanal!$B$6:$B$205,PC_Semanal!$I$6:$I$205,$I45,PC_Semanal!$A$6:$A$205,$A45-1),"Caída","Igual")))))</f>
        <v>-</v>
      </c>
      <c r="K45" s="11" t="str">
        <f>IF($B45="","",IF($B45&gt;=Inputs!$B$5,"Verde",IF($B45&gt;=Inputs!$B$5*Inputs!$B$8,"Amarillo","Rojo")))</f>
        <v/>
      </c>
      <c r="L45" s="16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5"/>
      <c r="J46" s="11" t="str">
        <f>IF($A46="","-",IF($A46&lt;2,"-",IF(SUMIFS(PC_Semanal!$B$6:$B$205,PC_Semanal!$I$6:$I$205,$I46,PC_Semanal!$A$6:$A$205,$A46-1)=0,"-",IF($B46&gt;SUMIFS(PC_Semanal!$B$6:$B$205,PC_Semanal!$I$6:$I$205,$I46,PC_Semanal!$A$6:$A$205,$A46-1),"Mejora",IF($B46&lt;SUMIFS(PC_Semanal!$B$6:$B$205,PC_Semanal!$I$6:$I$205,$I46,PC_Semanal!$A$6:$A$205,$A46-1),"Caída","Igual")))))</f>
        <v>-</v>
      </c>
      <c r="K46" s="11" t="str">
        <f>IF($B46="","",IF($B46&gt;=Inputs!$B$5,"Verde",IF($B46&gt;=Inputs!$B$5*Inputs!$B$8,"Amarillo","Rojo")))</f>
        <v/>
      </c>
      <c r="L46" s="17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5"/>
      <c r="J47" s="11" t="str">
        <f>IF($A47="","-",IF($A47&lt;2,"-",IF(SUMIFS(PC_Semanal!$B$6:$B$205,PC_Semanal!$I$6:$I$205,$I47,PC_Semanal!$A$6:$A$205,$A47-1)=0,"-",IF($B47&gt;SUMIFS(PC_Semanal!$B$6:$B$205,PC_Semanal!$I$6:$I$205,$I47,PC_Semanal!$A$6:$A$205,$A47-1),"Mejora",IF($B47&lt;SUMIFS(PC_Semanal!$B$6:$B$205,PC_Semanal!$I$6:$I$205,$I47,PC_Semanal!$A$6:$A$205,$A47-1),"Caída","Igual")))))</f>
        <v>-</v>
      </c>
      <c r="K47" s="11" t="str">
        <f>IF($B47="","",IF($B47&gt;=Inputs!$B$5,"Verde",IF($B47&gt;=Inputs!$B$5*Inputs!$B$8,"Amarillo","Rojo")))</f>
        <v/>
      </c>
      <c r="L47" s="16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5"/>
      <c r="J48" s="11" t="str">
        <f>IF($A48="","-",IF($A48&lt;2,"-",IF(SUMIFS(PC_Semanal!$B$6:$B$205,PC_Semanal!$I$6:$I$205,$I48,PC_Semanal!$A$6:$A$205,$A48-1)=0,"-",IF($B48&gt;SUMIFS(PC_Semanal!$B$6:$B$205,PC_Semanal!$I$6:$I$205,$I48,PC_Semanal!$A$6:$A$205,$A48-1),"Mejora",IF($B48&lt;SUMIFS(PC_Semanal!$B$6:$B$205,PC_Semanal!$I$6:$I$205,$I48,PC_Semanal!$A$6:$A$205,$A48-1),"Caída","Igual")))))</f>
        <v>-</v>
      </c>
      <c r="K48" s="11" t="str">
        <f>IF($B48="","",IF($B48&gt;=Inputs!$B$5,"Verde",IF($B48&gt;=Inputs!$B$5*Inputs!$B$8,"Amarillo","Rojo")))</f>
        <v/>
      </c>
      <c r="L48" s="17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5"/>
      <c r="J49" s="11" t="str">
        <f>IF($A49="","-",IF($A49&lt;2,"-",IF(SUMIFS(PC_Semanal!$B$6:$B$205,PC_Semanal!$I$6:$I$205,$I49,PC_Semanal!$A$6:$A$205,$A49-1)=0,"-",IF($B49&gt;SUMIFS(PC_Semanal!$B$6:$B$205,PC_Semanal!$I$6:$I$205,$I49,PC_Semanal!$A$6:$A$205,$A49-1),"Mejora",IF($B49&lt;SUMIFS(PC_Semanal!$B$6:$B$205,PC_Semanal!$I$6:$I$205,$I49,PC_Semanal!$A$6:$A$205,$A49-1),"Caída","Igual")))))</f>
        <v>-</v>
      </c>
      <c r="K49" s="11" t="str">
        <f>IF($B49="","",IF($B49&gt;=Inputs!$B$5,"Verde",IF($B49&gt;=Inputs!$B$5*Inputs!$B$8,"Amarillo","Rojo")))</f>
        <v/>
      </c>
      <c r="L49" s="16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5"/>
      <c r="J50" s="11" t="str">
        <f>IF($A50="","-",IF($A50&lt;2,"-",IF(SUMIFS(PC_Semanal!$B$6:$B$205,PC_Semanal!$I$6:$I$205,$I50,PC_Semanal!$A$6:$A$205,$A50-1)=0,"-",IF($B50&gt;SUMIFS(PC_Semanal!$B$6:$B$205,PC_Semanal!$I$6:$I$205,$I50,PC_Semanal!$A$6:$A$205,$A50-1),"Mejora",IF($B50&lt;SUMIFS(PC_Semanal!$B$6:$B$205,PC_Semanal!$I$6:$I$205,$I50,PC_Semanal!$A$6:$A$205,$A50-1),"Caída","Igual")))))</f>
        <v>-</v>
      </c>
      <c r="K50" s="11" t="str">
        <f>IF($B50="","",IF($B50&gt;=Inputs!$B$5,"Verde",IF($B50&gt;=Inputs!$B$5*Inputs!$B$8,"Amarillo","Rojo")))</f>
        <v/>
      </c>
      <c r="L50" s="17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5"/>
      <c r="J51" s="11" t="str">
        <f>IF($A51="","-",IF($A51&lt;2,"-",IF(SUMIFS(PC_Semanal!$B$6:$B$205,PC_Semanal!$I$6:$I$205,$I51,PC_Semanal!$A$6:$A$205,$A51-1)=0,"-",IF($B51&gt;SUMIFS(PC_Semanal!$B$6:$B$205,PC_Semanal!$I$6:$I$205,$I51,PC_Semanal!$A$6:$A$205,$A51-1),"Mejora",IF($B51&lt;SUMIFS(PC_Semanal!$B$6:$B$205,PC_Semanal!$I$6:$I$205,$I51,PC_Semanal!$A$6:$A$205,$A51-1),"Caída","Igual")))))</f>
        <v>-</v>
      </c>
      <c r="K51" s="11" t="str">
        <f>IF($B51="","",IF($B51&gt;=Inputs!$B$5,"Verde",IF($B51&gt;=Inputs!$B$5*Inputs!$B$8,"Amarillo","Rojo")))</f>
        <v/>
      </c>
      <c r="L51" s="16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5"/>
      <c r="J52" s="11" t="str">
        <f>IF($A52="","-",IF($A52&lt;2,"-",IF(SUMIFS(PC_Semanal!$B$6:$B$205,PC_Semanal!$I$6:$I$205,$I52,PC_Semanal!$A$6:$A$205,$A52-1)=0,"-",IF($B52&gt;SUMIFS(PC_Semanal!$B$6:$B$205,PC_Semanal!$I$6:$I$205,$I52,PC_Semanal!$A$6:$A$205,$A52-1),"Mejora",IF($B52&lt;SUMIFS(PC_Semanal!$B$6:$B$205,PC_Semanal!$I$6:$I$205,$I52,PC_Semanal!$A$6:$A$205,$A52-1),"Caída","Igual")))))</f>
        <v>-</v>
      </c>
      <c r="K52" s="11" t="str">
        <f>IF($B52="","",IF($B52&gt;=Inputs!$B$5,"Verde",IF($B52&gt;=Inputs!$B$5*Inputs!$B$8,"Amarillo","Rojo")))</f>
        <v/>
      </c>
      <c r="L52" s="17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5"/>
      <c r="J53" s="11" t="str">
        <f>IF($A53="","-",IF($A53&lt;2,"-",IF(SUMIFS(PC_Semanal!$B$6:$B$205,PC_Semanal!$I$6:$I$205,$I53,PC_Semanal!$A$6:$A$205,$A53-1)=0,"-",IF($B53&gt;SUMIFS(PC_Semanal!$B$6:$B$205,PC_Semanal!$I$6:$I$205,$I53,PC_Semanal!$A$6:$A$205,$A53-1),"Mejora",IF($B53&lt;SUMIFS(PC_Semanal!$B$6:$B$205,PC_Semanal!$I$6:$I$205,$I53,PC_Semanal!$A$6:$A$205,$A53-1),"Caída","Igual")))))</f>
        <v>-</v>
      </c>
      <c r="K53" s="11" t="str">
        <f>IF($B53="","",IF($B53&gt;=Inputs!$B$5,"Verde",IF($B53&gt;=Inputs!$B$5*Inputs!$B$8,"Amarillo","Rojo")))</f>
        <v/>
      </c>
      <c r="L53" s="16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5"/>
      <c r="J54" s="11" t="str">
        <f>IF($A54="","-",IF($A54&lt;2,"-",IF(SUMIFS(PC_Semanal!$B$6:$B$205,PC_Semanal!$I$6:$I$205,$I54,PC_Semanal!$A$6:$A$205,$A54-1)=0,"-",IF($B54&gt;SUMIFS(PC_Semanal!$B$6:$B$205,PC_Semanal!$I$6:$I$205,$I54,PC_Semanal!$A$6:$A$205,$A54-1),"Mejora",IF($B54&lt;SUMIFS(PC_Semanal!$B$6:$B$205,PC_Semanal!$I$6:$I$205,$I54,PC_Semanal!$A$6:$A$205,$A54-1),"Caída","Igual")))))</f>
        <v>-</v>
      </c>
      <c r="K54" s="11" t="str">
        <f>IF($B54="","",IF($B54&gt;=Inputs!$B$5,"Verde",IF($B54&gt;=Inputs!$B$5*Inputs!$B$8,"Amarillo","Rojo")))</f>
        <v/>
      </c>
      <c r="L54" s="17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5"/>
      <c r="J55" s="11" t="str">
        <f>IF($A55="","-",IF($A55&lt;2,"-",IF(SUMIFS(PC_Semanal!$B$6:$B$205,PC_Semanal!$I$6:$I$205,$I55,PC_Semanal!$A$6:$A$205,$A55-1)=0,"-",IF($B55&gt;SUMIFS(PC_Semanal!$B$6:$B$205,PC_Semanal!$I$6:$I$205,$I55,PC_Semanal!$A$6:$A$205,$A55-1),"Mejora",IF($B55&lt;SUMIFS(PC_Semanal!$B$6:$B$205,PC_Semanal!$I$6:$I$205,$I55,PC_Semanal!$A$6:$A$205,$A55-1),"Caída","Igual")))))</f>
        <v>-</v>
      </c>
      <c r="K55" s="11" t="str">
        <f>IF($B55="","",IF($B55&gt;=Inputs!$B$5,"Verde",IF($B55&gt;=Inputs!$B$5*Inputs!$B$8,"Amarillo","Rojo")))</f>
        <v/>
      </c>
      <c r="L55" s="16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5"/>
      <c r="J56" s="11" t="str">
        <f>IF($A56="","-",IF($A56&lt;2,"-",IF(SUMIFS(PC_Semanal!$B$6:$B$205,PC_Semanal!$I$6:$I$205,$I56,PC_Semanal!$A$6:$A$205,$A56-1)=0,"-",IF($B56&gt;SUMIFS(PC_Semanal!$B$6:$B$205,PC_Semanal!$I$6:$I$205,$I56,PC_Semanal!$A$6:$A$205,$A56-1),"Mejora",IF($B56&lt;SUMIFS(PC_Semanal!$B$6:$B$205,PC_Semanal!$I$6:$I$205,$I56,PC_Semanal!$A$6:$A$205,$A56-1),"Caída","Igual")))))</f>
        <v>-</v>
      </c>
      <c r="K56" s="11" t="str">
        <f>IF($B56="","",IF($B56&gt;=Inputs!$B$5,"Verde",IF($B56&gt;=Inputs!$B$5*Inputs!$B$8,"Amarillo","Rojo")))</f>
        <v/>
      </c>
      <c r="L56" s="17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5"/>
      <c r="J57" s="11" t="str">
        <f>IF($A57="","-",IF($A57&lt;2,"-",IF(SUMIFS(PC_Semanal!$B$6:$B$205,PC_Semanal!$I$6:$I$205,$I57,PC_Semanal!$A$6:$A$205,$A57-1)=0,"-",IF($B57&gt;SUMIFS(PC_Semanal!$B$6:$B$205,PC_Semanal!$I$6:$I$205,$I57,PC_Semanal!$A$6:$A$205,$A57-1),"Mejora",IF($B57&lt;SUMIFS(PC_Semanal!$B$6:$B$205,PC_Semanal!$I$6:$I$205,$I57,PC_Semanal!$A$6:$A$205,$A57-1),"Caída","Igual")))))</f>
        <v>-</v>
      </c>
      <c r="K57" s="11" t="str">
        <f>IF($B57="","",IF($B57&gt;=Inputs!$B$5,"Verde",IF($B57&gt;=Inputs!$B$5*Inputs!$B$8,"Amarillo","Rojo")))</f>
        <v/>
      </c>
      <c r="L57" s="16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5"/>
      <c r="J58" s="11" t="str">
        <f>IF($A58="","-",IF($A58&lt;2,"-",IF(SUMIFS(PC_Semanal!$B$6:$B$205,PC_Semanal!$I$6:$I$205,$I58,PC_Semanal!$A$6:$A$205,$A58-1)=0,"-",IF($B58&gt;SUMIFS(PC_Semanal!$B$6:$B$205,PC_Semanal!$I$6:$I$205,$I58,PC_Semanal!$A$6:$A$205,$A58-1),"Mejora",IF($B58&lt;SUMIFS(PC_Semanal!$B$6:$B$205,PC_Semanal!$I$6:$I$205,$I58,PC_Semanal!$A$6:$A$205,$A58-1),"Caída","Igual")))))</f>
        <v>-</v>
      </c>
      <c r="K58" s="11" t="str">
        <f>IF($B58="","",IF($B58&gt;=Inputs!$B$5,"Verde",IF($B58&gt;=Inputs!$B$5*Inputs!$B$8,"Amarillo","Rojo")))</f>
        <v/>
      </c>
      <c r="L58" s="17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5"/>
      <c r="J59" s="11" t="str">
        <f>IF($A59="","-",IF($A59&lt;2,"-",IF(SUMIFS(PC_Semanal!$B$6:$B$205,PC_Semanal!$I$6:$I$205,$I59,PC_Semanal!$A$6:$A$205,$A59-1)=0,"-",IF($B59&gt;SUMIFS(PC_Semanal!$B$6:$B$205,PC_Semanal!$I$6:$I$205,$I59,PC_Semanal!$A$6:$A$205,$A59-1),"Mejora",IF($B59&lt;SUMIFS(PC_Semanal!$B$6:$B$205,PC_Semanal!$I$6:$I$205,$I59,PC_Semanal!$A$6:$A$205,$A59-1),"Caída","Igual")))))</f>
        <v>-</v>
      </c>
      <c r="K59" s="11" t="str">
        <f>IF($B59="","",IF($B59&gt;=Inputs!$B$5,"Verde",IF($B59&gt;=Inputs!$B$5*Inputs!$B$8,"Amarillo","Rojo")))</f>
        <v/>
      </c>
      <c r="L59" s="16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5"/>
      <c r="J60" s="11" t="str">
        <f>IF($A60="","-",IF($A60&lt;2,"-",IF(SUMIFS(PC_Semanal!$B$6:$B$205,PC_Semanal!$I$6:$I$205,$I60,PC_Semanal!$A$6:$A$205,$A60-1)=0,"-",IF($B60&gt;SUMIFS(PC_Semanal!$B$6:$B$205,PC_Semanal!$I$6:$I$205,$I60,PC_Semanal!$A$6:$A$205,$A60-1),"Mejora",IF($B60&lt;SUMIFS(PC_Semanal!$B$6:$B$205,PC_Semanal!$I$6:$I$205,$I60,PC_Semanal!$A$6:$A$205,$A60-1),"Caída","Igual")))))</f>
        <v>-</v>
      </c>
      <c r="K60" s="11" t="str">
        <f>IF($B60="","",IF($B60&gt;=Inputs!$B$5,"Verde",IF($B60&gt;=Inputs!$B$5*Inputs!$B$8,"Amarillo","Rojo")))</f>
        <v/>
      </c>
      <c r="L60" s="17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5"/>
      <c r="J61" s="11" t="str">
        <f>IF($A61="","-",IF($A61&lt;2,"-",IF(SUMIFS(PC_Semanal!$B$6:$B$205,PC_Semanal!$I$6:$I$205,$I61,PC_Semanal!$A$6:$A$205,$A61-1)=0,"-",IF($B61&gt;SUMIFS(PC_Semanal!$B$6:$B$205,PC_Semanal!$I$6:$I$205,$I61,PC_Semanal!$A$6:$A$205,$A61-1),"Mejora",IF($B61&lt;SUMIFS(PC_Semanal!$B$6:$B$205,PC_Semanal!$I$6:$I$205,$I61,PC_Semanal!$A$6:$A$205,$A61-1),"Caída","Igual")))))</f>
        <v>-</v>
      </c>
      <c r="K61" s="11" t="str">
        <f>IF($B61="","",IF($B61&gt;=Inputs!$B$5,"Verde",IF($B61&gt;=Inputs!$B$5*Inputs!$B$8,"Amarillo","Rojo")))</f>
        <v/>
      </c>
      <c r="L61" s="16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9"/>
      <c r="J62" s="20" t="str">
        <f>IF($A62="","-",IF($A62&lt;2,"-",IF(SUMIFS(PC_Semanal!$B$6:$B$205,PC_Semanal!$I$6:$I$205,$I62,PC_Semanal!$A$6:$A$205,$A62-1)=0,"-",IF($B62&gt;SUMIFS(PC_Semanal!$B$6:$B$205,PC_Semanal!$I$6:$I$205,$I62,PC_Semanal!$A$6:$A$205,$A62-1),"Mejora",IF($B62&lt;SUMIFS(PC_Semanal!$B$6:$B$205,PC_Semanal!$I$6:$I$205,$I62,PC_Semanal!$A$6:$A$205,$A62-1),"Caída","Igual")))))</f>
        <v>-</v>
      </c>
      <c r="K62" s="21" t="str">
        <f>IF($B62="","",IF($B62&gt;=Inputs!$B$5,"Verde",IF($B62&gt;=Inputs!$B$5*Inputs!$B$8,"Amarillo","Rojo")))</f>
        <v/>
      </c>
      <c r="L62" s="17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9"/>
      <c r="J63" s="20" t="str">
        <f>IF($A63="","-",IF($A63&lt;2,"-",IF(SUMIFS(PC_Semanal!$B$6:$B$205,PC_Semanal!$I$6:$I$205,$I63,PC_Semanal!$A$6:$A$205,$A63-1)=0,"-",IF($B63&gt;SUMIFS(PC_Semanal!$B$6:$B$205,PC_Semanal!$I$6:$I$205,$I63,PC_Semanal!$A$6:$A$205,$A63-1),"Mejora",IF($B63&lt;SUMIFS(PC_Semanal!$B$6:$B$205,PC_Semanal!$I$6:$I$205,$I63,PC_Semanal!$A$6:$A$205,$A63-1),"Caída","Igual")))))</f>
        <v>-</v>
      </c>
      <c r="K63" s="11" t="str">
        <f>IF($B63="","",IF($B63&gt;=Inputs!$B$5,"Verde",IF($B63&gt;=Inputs!$B$5*Inputs!$B$8,"Amarillo","Rojo")))</f>
        <v/>
      </c>
      <c r="L63" s="16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9"/>
      <c r="J64" s="20" t="str">
        <f>IF($A64="","-",IF($A64&lt;2,"-",IF(SUMIFS(PC_Semanal!$B$6:$B$205,PC_Semanal!$I$6:$I$205,$I64,PC_Semanal!$A$6:$A$205,$A64-1)=0,"-",IF($B64&gt;SUMIFS(PC_Semanal!$B$6:$B$205,PC_Semanal!$I$6:$I$205,$I64,PC_Semanal!$A$6:$A$205,$A64-1),"Mejora",IF($B64&lt;SUMIFS(PC_Semanal!$B$6:$B$205,PC_Semanal!$I$6:$I$205,$I64,PC_Semanal!$A$6:$A$205,$A64-1),"Caída","Igual")))))</f>
        <v>-</v>
      </c>
      <c r="K64" s="21" t="str">
        <f>IF($B64="","",IF($B64&gt;=Inputs!$B$5,"Verde",IF($B64&gt;=Inputs!$B$5*Inputs!$B$8,"Amarillo","Rojo")))</f>
        <v/>
      </c>
      <c r="L64" s="17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9"/>
      <c r="J65" s="20" t="str">
        <f>IF($A65="","-",IF($A65&lt;2,"-",IF(SUMIFS(PC_Semanal!$B$6:$B$205,PC_Semanal!$I$6:$I$205,$I65,PC_Semanal!$A$6:$A$205,$A65-1)=0,"-",IF($B65&gt;SUMIFS(PC_Semanal!$B$6:$B$205,PC_Semanal!$I$6:$I$205,$I65,PC_Semanal!$A$6:$A$205,$A65-1),"Mejora",IF($B65&lt;SUMIFS(PC_Semanal!$B$6:$B$205,PC_Semanal!$I$6:$I$205,$I65,PC_Semanal!$A$6:$A$205,$A65-1),"Caída","Igual")))))</f>
        <v>-</v>
      </c>
      <c r="K65" s="11" t="str">
        <f>IF($B65="","",IF($B65&gt;=Inputs!$B$5,"Verde",IF($B65&gt;=Inputs!$B$5*Inputs!$B$8,"Amarillo","Rojo")))</f>
        <v/>
      </c>
      <c r="L65" s="16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9"/>
      <c r="J66" s="20" t="str">
        <f>IF($A66="","-",IF($A66&lt;2,"-",IF(SUMIFS(PC_Semanal!$B$6:$B$205,PC_Semanal!$I$6:$I$205,$I66,PC_Semanal!$A$6:$A$205,$A66-1)=0,"-",IF($B66&gt;SUMIFS(PC_Semanal!$B$6:$B$205,PC_Semanal!$I$6:$I$205,$I66,PC_Semanal!$A$6:$A$205,$A66-1),"Mejora",IF($B66&lt;SUMIFS(PC_Semanal!$B$6:$B$205,PC_Semanal!$I$6:$I$205,$I66,PC_Semanal!$A$6:$A$205,$A66-1),"Caída","Igual")))))</f>
        <v>-</v>
      </c>
      <c r="K66" s="21" t="str">
        <f>IF($B66="","",IF($B66&gt;=Inputs!$B$5,"Verde",IF($B66&gt;=Inputs!$B$5*Inputs!$B$8,"Amarillo","Rojo")))</f>
        <v/>
      </c>
      <c r="L66" s="17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9"/>
      <c r="J67" s="20" t="str">
        <f>IF($A67="","-",IF($A67&lt;2,"-",IF(SUMIFS(PC_Semanal!$B$6:$B$205,PC_Semanal!$I$6:$I$205,$I67,PC_Semanal!$A$6:$A$205,$A67-1)=0,"-",IF($B67&gt;SUMIFS(PC_Semanal!$B$6:$B$205,PC_Semanal!$I$6:$I$205,$I67,PC_Semanal!$A$6:$A$205,$A67-1),"Mejora",IF($B67&lt;SUMIFS(PC_Semanal!$B$6:$B$205,PC_Semanal!$I$6:$I$205,$I67,PC_Semanal!$A$6:$A$205,$A67-1),"Caída","Igual")))))</f>
        <v>-</v>
      </c>
      <c r="K67" s="11" t="str">
        <f>IF($B67="","",IF($B67&gt;=Inputs!$B$5,"Verde",IF($B67&gt;=Inputs!$B$5*Inputs!$B$8,"Amarillo","Rojo")))</f>
        <v/>
      </c>
      <c r="L67" s="16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9"/>
      <c r="J68" s="20" t="str">
        <f>IF($A68="","-",IF($A68&lt;2,"-",IF(SUMIFS(PC_Semanal!$B$6:$B$205,PC_Semanal!$I$6:$I$205,$I68,PC_Semanal!$A$6:$A$205,$A68-1)=0,"-",IF($B68&gt;SUMIFS(PC_Semanal!$B$6:$B$205,PC_Semanal!$I$6:$I$205,$I68,PC_Semanal!$A$6:$A$205,$A68-1),"Mejora",IF($B68&lt;SUMIFS(PC_Semanal!$B$6:$B$205,PC_Semanal!$I$6:$I$205,$I68,PC_Semanal!$A$6:$A$205,$A68-1),"Caída","Igual")))))</f>
        <v>-</v>
      </c>
      <c r="K68" s="21" t="str">
        <f>IF($B68="","",IF($B68&gt;=Inputs!$B$5,"Verde",IF($B68&gt;=Inputs!$B$5*Inputs!$B$8,"Amarillo","Rojo")))</f>
        <v/>
      </c>
      <c r="L68" s="17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9"/>
      <c r="J69" s="20" t="str">
        <f>IF($A69="","-",IF($A69&lt;2,"-",IF(SUMIFS(PC_Semanal!$B$6:$B$205,PC_Semanal!$I$6:$I$205,$I69,PC_Semanal!$A$6:$A$205,$A69-1)=0,"-",IF($B69&gt;SUMIFS(PC_Semanal!$B$6:$B$205,PC_Semanal!$I$6:$I$205,$I69,PC_Semanal!$A$6:$A$205,$A69-1),"Mejora",IF($B69&lt;SUMIFS(PC_Semanal!$B$6:$B$205,PC_Semanal!$I$6:$I$205,$I69,PC_Semanal!$A$6:$A$205,$A69-1),"Caída","Igual")))))</f>
        <v>-</v>
      </c>
      <c r="K69" s="11" t="str">
        <f>IF($B69="","",IF($B69&gt;=Inputs!$B$5,"Verde",IF($B69&gt;=Inputs!$B$5*Inputs!$B$8,"Amarillo","Rojo")))</f>
        <v/>
      </c>
      <c r="L69" s="16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9"/>
      <c r="J70" s="20" t="str">
        <f>IF($A70="","-",IF($A70&lt;2,"-",IF(SUMIFS(PC_Semanal!$B$6:$B$205,PC_Semanal!$I$6:$I$205,$I70,PC_Semanal!$A$6:$A$205,$A70-1)=0,"-",IF($B70&gt;SUMIFS(PC_Semanal!$B$6:$B$205,PC_Semanal!$I$6:$I$205,$I70,PC_Semanal!$A$6:$A$205,$A70-1),"Mejora",IF($B70&lt;SUMIFS(PC_Semanal!$B$6:$B$205,PC_Semanal!$I$6:$I$205,$I70,PC_Semanal!$A$6:$A$205,$A70-1),"Caída","Igual")))))</f>
        <v>-</v>
      </c>
      <c r="K70" s="21" t="str">
        <f>IF($B70="","",IF($B70&gt;=Inputs!$B$5,"Verde",IF($B70&gt;=Inputs!$B$5*Inputs!$B$8,"Amarillo","Rojo")))</f>
        <v/>
      </c>
      <c r="L70" s="17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9"/>
      <c r="J71" s="20" t="str">
        <f>IF($A71="","-",IF($A71&lt;2,"-",IF(SUMIFS(PC_Semanal!$B$6:$B$205,PC_Semanal!$I$6:$I$205,$I71,PC_Semanal!$A$6:$A$205,$A71-1)=0,"-",IF($B71&gt;SUMIFS(PC_Semanal!$B$6:$B$205,PC_Semanal!$I$6:$I$205,$I71,PC_Semanal!$A$6:$A$205,$A71-1),"Mejora",IF($B71&lt;SUMIFS(PC_Semanal!$B$6:$B$205,PC_Semanal!$I$6:$I$205,$I71,PC_Semanal!$A$6:$A$205,$A71-1),"Caída","Igual")))))</f>
        <v>-</v>
      </c>
      <c r="K71" s="11" t="str">
        <f>IF($B71="","",IF($B71&gt;=Inputs!$B$5,"Verde",IF($B71&gt;=Inputs!$B$5*Inputs!$B$8,"Amarillo","Rojo")))</f>
        <v/>
      </c>
      <c r="L71" s="16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9"/>
      <c r="J72" s="20" t="str">
        <f>IF($A72="","-",IF($A72&lt;2,"-",IF(SUMIFS(PC_Semanal!$B$6:$B$205,PC_Semanal!$I$6:$I$205,$I72,PC_Semanal!$A$6:$A$205,$A72-1)=0,"-",IF($B72&gt;SUMIFS(PC_Semanal!$B$6:$B$205,PC_Semanal!$I$6:$I$205,$I72,PC_Semanal!$A$6:$A$205,$A72-1),"Mejora",IF($B72&lt;SUMIFS(PC_Semanal!$B$6:$B$205,PC_Semanal!$I$6:$I$205,$I72,PC_Semanal!$A$6:$A$205,$A72-1),"Caída","Igual")))))</f>
        <v>-</v>
      </c>
      <c r="K72" s="21" t="str">
        <f>IF($B72="","",IF($B72&gt;=Inputs!$B$5,"Verde",IF($B72&gt;=Inputs!$B$5*Inputs!$B$8,"Amarillo","Rojo")))</f>
        <v/>
      </c>
      <c r="L72" s="17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9"/>
      <c r="J73" s="20" t="str">
        <f>IF($A73="","-",IF($A73&lt;2,"-",IF(SUMIFS(PC_Semanal!$B$6:$B$205,PC_Semanal!$I$6:$I$205,$I73,PC_Semanal!$A$6:$A$205,$A73-1)=0,"-",IF($B73&gt;SUMIFS(PC_Semanal!$B$6:$B$205,PC_Semanal!$I$6:$I$205,$I73,PC_Semanal!$A$6:$A$205,$A73-1),"Mejora",IF($B73&lt;SUMIFS(PC_Semanal!$B$6:$B$205,PC_Semanal!$I$6:$I$205,$I73,PC_Semanal!$A$6:$A$205,$A73-1),"Caída","Igual")))))</f>
        <v>-</v>
      </c>
      <c r="K73" s="11" t="str">
        <f>IF($B73="","",IF($B73&gt;=Inputs!$B$5,"Verde",IF($B73&gt;=Inputs!$B$5*Inputs!$B$8,"Amarillo","Rojo")))</f>
        <v/>
      </c>
      <c r="L73" s="16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9"/>
      <c r="J74" s="20" t="str">
        <f>IF($A74="","-",IF($A74&lt;2,"-",IF(SUMIFS(PC_Semanal!$B$6:$B$205,PC_Semanal!$I$6:$I$205,$I74,PC_Semanal!$A$6:$A$205,$A74-1)=0,"-",IF($B74&gt;SUMIFS(PC_Semanal!$B$6:$B$205,PC_Semanal!$I$6:$I$205,$I74,PC_Semanal!$A$6:$A$205,$A74-1),"Mejora",IF($B74&lt;SUMIFS(PC_Semanal!$B$6:$B$205,PC_Semanal!$I$6:$I$205,$I74,PC_Semanal!$A$6:$A$205,$A74-1),"Caída","Igual")))))</f>
        <v>-</v>
      </c>
      <c r="K74" s="21" t="str">
        <f>IF($B74="","",IF($B74&gt;=Inputs!$B$5,"Verde",IF($B74&gt;=Inputs!$B$5*Inputs!$B$8,"Amarillo","Rojo")))</f>
        <v/>
      </c>
      <c r="L74" s="17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9"/>
      <c r="J75" s="20" t="str">
        <f>IF($A75="","-",IF($A75&lt;2,"-",IF(SUMIFS(PC_Semanal!$B$6:$B$205,PC_Semanal!$I$6:$I$205,$I75,PC_Semanal!$A$6:$A$205,$A75-1)=0,"-",IF($B75&gt;SUMIFS(PC_Semanal!$B$6:$B$205,PC_Semanal!$I$6:$I$205,$I75,PC_Semanal!$A$6:$A$205,$A75-1),"Mejora",IF($B75&lt;SUMIFS(PC_Semanal!$B$6:$B$205,PC_Semanal!$I$6:$I$205,$I75,PC_Semanal!$A$6:$A$205,$A75-1),"Caída","Igual")))))</f>
        <v>-</v>
      </c>
      <c r="K75" s="11" t="str">
        <f>IF($B75="","",IF($B75&gt;=Inputs!$B$5,"Verde",IF($B75&gt;=Inputs!$B$5*Inputs!$B$8,"Amarillo","Rojo")))</f>
        <v/>
      </c>
      <c r="L75" s="16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9"/>
      <c r="J76" s="20" t="str">
        <f>IF($A76="","-",IF($A76&lt;2,"-",IF(SUMIFS(PC_Semanal!$B$6:$B$205,PC_Semanal!$I$6:$I$205,$I76,PC_Semanal!$A$6:$A$205,$A76-1)=0,"-",IF($B76&gt;SUMIFS(PC_Semanal!$B$6:$B$205,PC_Semanal!$I$6:$I$205,$I76,PC_Semanal!$A$6:$A$205,$A76-1),"Mejora",IF($B76&lt;SUMIFS(PC_Semanal!$B$6:$B$205,PC_Semanal!$I$6:$I$205,$I76,PC_Semanal!$A$6:$A$205,$A76-1),"Caída","Igual")))))</f>
        <v>-</v>
      </c>
      <c r="K76" s="21" t="str">
        <f>IF($B76="","",IF($B76&gt;=Inputs!$B$5,"Verde",IF($B76&gt;=Inputs!$B$5*Inputs!$B$8,"Amarillo","Rojo")))</f>
        <v/>
      </c>
      <c r="L76" s="17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9"/>
      <c r="J77" s="20" t="str">
        <f>IF($A77="","-",IF($A77&lt;2,"-",IF(SUMIFS(PC_Semanal!$B$6:$B$205,PC_Semanal!$I$6:$I$205,$I77,PC_Semanal!$A$6:$A$205,$A77-1)=0,"-",IF($B77&gt;SUMIFS(PC_Semanal!$B$6:$B$205,PC_Semanal!$I$6:$I$205,$I77,PC_Semanal!$A$6:$A$205,$A77-1),"Mejora",IF($B77&lt;SUMIFS(PC_Semanal!$B$6:$B$205,PC_Semanal!$I$6:$I$205,$I77,PC_Semanal!$A$6:$A$205,$A77-1),"Caída","Igual")))))</f>
        <v>-</v>
      </c>
      <c r="K77" s="11" t="str">
        <f>IF($B77="","",IF($B77&gt;=Inputs!$B$5,"Verde",IF($B77&gt;=Inputs!$B$5*Inputs!$B$8,"Amarillo","Rojo")))</f>
        <v/>
      </c>
      <c r="L77" s="16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9"/>
      <c r="J78" s="20" t="str">
        <f>IF($A78="","-",IF($A78&lt;2,"-",IF(SUMIFS(PC_Semanal!$B$6:$B$205,PC_Semanal!$I$6:$I$205,$I78,PC_Semanal!$A$6:$A$205,$A78-1)=0,"-",IF($B78&gt;SUMIFS(PC_Semanal!$B$6:$B$205,PC_Semanal!$I$6:$I$205,$I78,PC_Semanal!$A$6:$A$205,$A78-1),"Mejora",IF($B78&lt;SUMIFS(PC_Semanal!$B$6:$B$205,PC_Semanal!$I$6:$I$205,$I78,PC_Semanal!$A$6:$A$205,$A78-1),"Caída","Igual")))))</f>
        <v>-</v>
      </c>
      <c r="K78" s="21" t="str">
        <f>IF($B78="","",IF($B78&gt;=Inputs!$B$5,"Verde",IF($B78&gt;=Inputs!$B$5*Inputs!$B$8,"Amarillo","Rojo")))</f>
        <v/>
      </c>
      <c r="L78" s="17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9"/>
      <c r="J79" s="20" t="str">
        <f>IF($A79="","-",IF($A79&lt;2,"-",IF(SUMIFS(PC_Semanal!$B$6:$B$205,PC_Semanal!$I$6:$I$205,$I79,PC_Semanal!$A$6:$A$205,$A79-1)=0,"-",IF($B79&gt;SUMIFS(PC_Semanal!$B$6:$B$205,PC_Semanal!$I$6:$I$205,$I79,PC_Semanal!$A$6:$A$205,$A79-1),"Mejora",IF($B79&lt;SUMIFS(PC_Semanal!$B$6:$B$205,PC_Semanal!$I$6:$I$205,$I79,PC_Semanal!$A$6:$A$205,$A79-1),"Caída","Igual")))))</f>
        <v>-</v>
      </c>
      <c r="K79" s="11" t="str">
        <f>IF($B79="","",IF($B79&gt;=Inputs!$B$5,"Verde",IF($B79&gt;=Inputs!$B$5*Inputs!$B$8,"Amarillo","Rojo")))</f>
        <v/>
      </c>
      <c r="L79" s="16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9"/>
      <c r="J80" s="20" t="str">
        <f>IF($A80="","-",IF($A80&lt;2,"-",IF(SUMIFS(PC_Semanal!$B$6:$B$205,PC_Semanal!$I$6:$I$205,$I80,PC_Semanal!$A$6:$A$205,$A80-1)=0,"-",IF($B80&gt;SUMIFS(PC_Semanal!$B$6:$B$205,PC_Semanal!$I$6:$I$205,$I80,PC_Semanal!$A$6:$A$205,$A80-1),"Mejora",IF($B80&lt;SUMIFS(PC_Semanal!$B$6:$B$205,PC_Semanal!$I$6:$I$205,$I80,PC_Semanal!$A$6:$A$205,$A80-1),"Caída","Igual")))))</f>
        <v>-</v>
      </c>
      <c r="K80" s="21" t="str">
        <f>IF($B80="","",IF($B80&gt;=Inputs!$B$5,"Verde",IF($B80&gt;=Inputs!$B$5*Inputs!$B$8,"Amarillo","Rojo")))</f>
        <v/>
      </c>
      <c r="L80" s="17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9"/>
      <c r="J81" s="20" t="str">
        <f>IF($A81="","-",IF($A81&lt;2,"-",IF(SUMIFS(PC_Semanal!$B$6:$B$205,PC_Semanal!$I$6:$I$205,$I81,PC_Semanal!$A$6:$A$205,$A81-1)=0,"-",IF($B81&gt;SUMIFS(PC_Semanal!$B$6:$B$205,PC_Semanal!$I$6:$I$205,$I81,PC_Semanal!$A$6:$A$205,$A81-1),"Mejora",IF($B81&lt;SUMIFS(PC_Semanal!$B$6:$B$205,PC_Semanal!$I$6:$I$205,$I81,PC_Semanal!$A$6:$A$205,$A81-1),"Caída","Igual")))))</f>
        <v>-</v>
      </c>
      <c r="K81" s="11" t="str">
        <f>IF($B81="","",IF($B81&gt;=Inputs!$B$5,"Verde",IF($B81&gt;=Inputs!$B$5*Inputs!$B$8,"Amarillo","Rojo")))</f>
        <v/>
      </c>
      <c r="L81" s="16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9"/>
      <c r="J82" s="20" t="str">
        <f>IF($A82="","-",IF($A82&lt;2,"-",IF(SUMIFS(PC_Semanal!$B$6:$B$205,PC_Semanal!$I$6:$I$205,$I82,PC_Semanal!$A$6:$A$205,$A82-1)=0,"-",IF($B82&gt;SUMIFS(PC_Semanal!$B$6:$B$205,PC_Semanal!$I$6:$I$205,$I82,PC_Semanal!$A$6:$A$205,$A82-1),"Mejora",IF($B82&lt;SUMIFS(PC_Semanal!$B$6:$B$205,PC_Semanal!$I$6:$I$205,$I82,PC_Semanal!$A$6:$A$205,$A82-1),"Caída","Igual")))))</f>
        <v>-</v>
      </c>
      <c r="K82" s="21" t="str">
        <f>IF($B82="","",IF($B82&gt;=Inputs!$B$5,"Verde",IF($B82&gt;=Inputs!$B$5*Inputs!$B$8,"Amarillo","Rojo")))</f>
        <v/>
      </c>
      <c r="L82" s="17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9"/>
      <c r="J83" s="20" t="str">
        <f>IF($A83="","-",IF($A83&lt;2,"-",IF(SUMIFS(PC_Semanal!$B$6:$B$205,PC_Semanal!$I$6:$I$205,$I83,PC_Semanal!$A$6:$A$205,$A83-1)=0,"-",IF($B83&gt;SUMIFS(PC_Semanal!$B$6:$B$205,PC_Semanal!$I$6:$I$205,$I83,PC_Semanal!$A$6:$A$205,$A83-1),"Mejora",IF($B83&lt;SUMIFS(PC_Semanal!$B$6:$B$205,PC_Semanal!$I$6:$I$205,$I83,PC_Semanal!$A$6:$A$205,$A83-1),"Caída","Igual")))))</f>
        <v>-</v>
      </c>
      <c r="K83" s="11" t="str">
        <f>IF($B83="","",IF($B83&gt;=Inputs!$B$5,"Verde",IF($B83&gt;=Inputs!$B$5*Inputs!$B$8,"Amarillo","Rojo")))</f>
        <v/>
      </c>
      <c r="L83" s="16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9"/>
      <c r="J84" s="20" t="str">
        <f>IF($A84="","-",IF($A84&lt;2,"-",IF(SUMIFS(PC_Semanal!$B$6:$B$205,PC_Semanal!$I$6:$I$205,$I84,PC_Semanal!$A$6:$A$205,$A84-1)=0,"-",IF($B84&gt;SUMIFS(PC_Semanal!$B$6:$B$205,PC_Semanal!$I$6:$I$205,$I84,PC_Semanal!$A$6:$A$205,$A84-1),"Mejora",IF($B84&lt;SUMIFS(PC_Semanal!$B$6:$B$205,PC_Semanal!$I$6:$I$205,$I84,PC_Semanal!$A$6:$A$205,$A84-1),"Caída","Igual")))))</f>
        <v>-</v>
      </c>
      <c r="K84" s="21" t="str">
        <f>IF($B84="","",IF($B84&gt;=Inputs!$B$5,"Verde",IF($B84&gt;=Inputs!$B$5*Inputs!$B$8,"Amarillo","Rojo")))</f>
        <v/>
      </c>
      <c r="L84" s="17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9"/>
      <c r="J85" s="20" t="str">
        <f>IF($A85="","-",IF($A85&lt;2,"-",IF(SUMIFS(PC_Semanal!$B$6:$B$205,PC_Semanal!$I$6:$I$205,$I85,PC_Semanal!$A$6:$A$205,$A85-1)=0,"-",IF($B85&gt;SUMIFS(PC_Semanal!$B$6:$B$205,PC_Semanal!$I$6:$I$205,$I85,PC_Semanal!$A$6:$A$205,$A85-1),"Mejora",IF($B85&lt;SUMIFS(PC_Semanal!$B$6:$B$205,PC_Semanal!$I$6:$I$205,$I85,PC_Semanal!$A$6:$A$205,$A85-1),"Caída","Igual")))))</f>
        <v>-</v>
      </c>
      <c r="K85" s="11" t="str">
        <f>IF($B85="","",IF($B85&gt;=Inputs!$B$5,"Verde",IF($B85&gt;=Inputs!$B$5*Inputs!$B$8,"Amarillo","Rojo")))</f>
        <v/>
      </c>
      <c r="L85" s="16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9"/>
      <c r="J86" s="20" t="str">
        <f>IF($A86="","-",IF($A86&lt;2,"-",IF(SUMIFS(PC_Semanal!$B$6:$B$205,PC_Semanal!$I$6:$I$205,$I86,PC_Semanal!$A$6:$A$205,$A86-1)=0,"-",IF($B86&gt;SUMIFS(PC_Semanal!$B$6:$B$205,PC_Semanal!$I$6:$I$205,$I86,PC_Semanal!$A$6:$A$205,$A86-1),"Mejora",IF($B86&lt;SUMIFS(PC_Semanal!$B$6:$B$205,PC_Semanal!$I$6:$I$205,$I86,PC_Semanal!$A$6:$A$205,$A86-1),"Caída","Igual")))))</f>
        <v>-</v>
      </c>
      <c r="K86" s="21" t="str">
        <f>IF($B86="","",IF($B86&gt;=Inputs!$B$5,"Verde",IF($B86&gt;=Inputs!$B$5*Inputs!$B$8,"Amarillo","Rojo")))</f>
        <v/>
      </c>
      <c r="L86" s="17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9"/>
      <c r="J87" s="20" t="str">
        <f>IF($A87="","-",IF($A87&lt;2,"-",IF(SUMIFS(PC_Semanal!$B$6:$B$205,PC_Semanal!$I$6:$I$205,$I87,PC_Semanal!$A$6:$A$205,$A87-1)=0,"-",IF($B87&gt;SUMIFS(PC_Semanal!$B$6:$B$205,PC_Semanal!$I$6:$I$205,$I87,PC_Semanal!$A$6:$A$205,$A87-1),"Mejora",IF($B87&lt;SUMIFS(PC_Semanal!$B$6:$B$205,PC_Semanal!$I$6:$I$205,$I87,PC_Semanal!$A$6:$A$205,$A87-1),"Caída","Igual")))))</f>
        <v>-</v>
      </c>
      <c r="K87" s="11" t="str">
        <f>IF($B87="","",IF($B87&gt;=Inputs!$B$5,"Verde",IF($B87&gt;=Inputs!$B$5*Inputs!$B$8,"Amarillo","Rojo")))</f>
        <v/>
      </c>
      <c r="L87" s="16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9"/>
      <c r="J88" s="20" t="str">
        <f>IF($A88="","-",IF($A88&lt;2,"-",IF(SUMIFS(PC_Semanal!$B$6:$B$205,PC_Semanal!$I$6:$I$205,$I88,PC_Semanal!$A$6:$A$205,$A88-1)=0,"-",IF($B88&gt;SUMIFS(PC_Semanal!$B$6:$B$205,PC_Semanal!$I$6:$I$205,$I88,PC_Semanal!$A$6:$A$205,$A88-1),"Mejora",IF($B88&lt;SUMIFS(PC_Semanal!$B$6:$B$205,PC_Semanal!$I$6:$I$205,$I88,PC_Semanal!$A$6:$A$205,$A88-1),"Caída","Igual")))))</f>
        <v>-</v>
      </c>
      <c r="K88" s="21" t="str">
        <f>IF($B88="","",IF($B88&gt;=Inputs!$B$5,"Verde",IF($B88&gt;=Inputs!$B$5*Inputs!$B$8,"Amarillo","Rojo")))</f>
        <v/>
      </c>
      <c r="L88" s="17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9"/>
      <c r="J89" s="20" t="str">
        <f>IF($A89="","-",IF($A89&lt;2,"-",IF(SUMIFS(PC_Semanal!$B$6:$B$205,PC_Semanal!$I$6:$I$205,$I89,PC_Semanal!$A$6:$A$205,$A89-1)=0,"-",IF($B89&gt;SUMIFS(PC_Semanal!$B$6:$B$205,PC_Semanal!$I$6:$I$205,$I89,PC_Semanal!$A$6:$A$205,$A89-1),"Mejora",IF($B89&lt;SUMIFS(PC_Semanal!$B$6:$B$205,PC_Semanal!$I$6:$I$205,$I89,PC_Semanal!$A$6:$A$205,$A89-1),"Caída","Igual")))))</f>
        <v>-</v>
      </c>
      <c r="K89" s="11" t="str">
        <f>IF($B89="","",IF($B89&gt;=Inputs!$B$5,"Verde",IF($B89&gt;=Inputs!$B$5*Inputs!$B$8,"Amarillo","Rojo")))</f>
        <v/>
      </c>
      <c r="L89" s="16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9"/>
      <c r="J90" s="20" t="str">
        <f>IF($A90="","-",IF($A90&lt;2,"-",IF(SUMIFS(PC_Semanal!$B$6:$B$205,PC_Semanal!$I$6:$I$205,$I90,PC_Semanal!$A$6:$A$205,$A90-1)=0,"-",IF($B90&gt;SUMIFS(PC_Semanal!$B$6:$B$205,PC_Semanal!$I$6:$I$205,$I90,PC_Semanal!$A$6:$A$205,$A90-1),"Mejora",IF($B90&lt;SUMIFS(PC_Semanal!$B$6:$B$205,PC_Semanal!$I$6:$I$205,$I90,PC_Semanal!$A$6:$A$205,$A90-1),"Caída","Igual")))))</f>
        <v>-</v>
      </c>
      <c r="K90" s="21" t="str">
        <f>IF($B90="","",IF($B90&gt;=Inputs!$B$5,"Verde",IF($B90&gt;=Inputs!$B$5*Inputs!$B$8,"Amarillo","Rojo")))</f>
        <v/>
      </c>
      <c r="L90" s="17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9"/>
      <c r="J91" s="20" t="str">
        <f>IF($A91="","-",IF($A91&lt;2,"-",IF(SUMIFS(PC_Semanal!$B$6:$B$205,PC_Semanal!$I$6:$I$205,$I91,PC_Semanal!$A$6:$A$205,$A91-1)=0,"-",IF($B91&gt;SUMIFS(PC_Semanal!$B$6:$B$205,PC_Semanal!$I$6:$I$205,$I91,PC_Semanal!$A$6:$A$205,$A91-1),"Mejora",IF($B91&lt;SUMIFS(PC_Semanal!$B$6:$B$205,PC_Semanal!$I$6:$I$205,$I91,PC_Semanal!$A$6:$A$205,$A91-1),"Caída","Igual")))))</f>
        <v>-</v>
      </c>
      <c r="K91" s="11" t="str">
        <f>IF($B91="","",IF($B91&gt;=Inputs!$B$5,"Verde",IF($B91&gt;=Inputs!$B$5*Inputs!$B$8,"Amarillo","Rojo")))</f>
        <v/>
      </c>
      <c r="L91" s="16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9"/>
      <c r="J92" s="20" t="str">
        <f>IF($A92="","-",IF($A92&lt;2,"-",IF(SUMIFS(PC_Semanal!$B$6:$B$205,PC_Semanal!$I$6:$I$205,$I92,PC_Semanal!$A$6:$A$205,$A92-1)=0,"-",IF($B92&gt;SUMIFS(PC_Semanal!$B$6:$B$205,PC_Semanal!$I$6:$I$205,$I92,PC_Semanal!$A$6:$A$205,$A92-1),"Mejora",IF($B92&lt;SUMIFS(PC_Semanal!$B$6:$B$205,PC_Semanal!$I$6:$I$205,$I92,PC_Semanal!$A$6:$A$205,$A92-1),"Caída","Igual")))))</f>
        <v>-</v>
      </c>
      <c r="K92" s="21" t="str">
        <f>IF($B92="","",IF($B92&gt;=Inputs!$B$5,"Verde",IF($B92&gt;=Inputs!$B$5*Inputs!$B$8,"Amarillo","Rojo")))</f>
        <v/>
      </c>
      <c r="L92" s="17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9"/>
      <c r="J93" s="20" t="str">
        <f>IF($A93="","-",IF($A93&lt;2,"-",IF(SUMIFS(PC_Semanal!$B$6:$B$205,PC_Semanal!$I$6:$I$205,$I93,PC_Semanal!$A$6:$A$205,$A93-1)=0,"-",IF($B93&gt;SUMIFS(PC_Semanal!$B$6:$B$205,PC_Semanal!$I$6:$I$205,$I93,PC_Semanal!$A$6:$A$205,$A93-1),"Mejora",IF($B93&lt;SUMIFS(PC_Semanal!$B$6:$B$205,PC_Semanal!$I$6:$I$205,$I93,PC_Semanal!$A$6:$A$205,$A93-1),"Caída","Igual")))))</f>
        <v>-</v>
      </c>
      <c r="K93" s="11" t="str">
        <f>IF($B93="","",IF($B93&gt;=Inputs!$B$5,"Verde",IF($B93&gt;=Inputs!$B$5*Inputs!$B$8,"Amarillo","Rojo")))</f>
        <v/>
      </c>
      <c r="L93" s="16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9"/>
      <c r="J94" s="20" t="str">
        <f>IF($A94="","-",IF($A94&lt;2,"-",IF(SUMIFS(PC_Semanal!$B$6:$B$205,PC_Semanal!$I$6:$I$205,$I94,PC_Semanal!$A$6:$A$205,$A94-1)=0,"-",IF($B94&gt;SUMIFS(PC_Semanal!$B$6:$B$205,PC_Semanal!$I$6:$I$205,$I94,PC_Semanal!$A$6:$A$205,$A94-1),"Mejora",IF($B94&lt;SUMIFS(PC_Semanal!$B$6:$B$205,PC_Semanal!$I$6:$I$205,$I94,PC_Semanal!$A$6:$A$205,$A94-1),"Caída","Igual")))))</f>
        <v>-</v>
      </c>
      <c r="K94" s="21" t="str">
        <f>IF($B94="","",IF($B94&gt;=Inputs!$B$5,"Verde",IF($B94&gt;=Inputs!$B$5*Inputs!$B$8,"Amarillo","Rojo")))</f>
        <v/>
      </c>
      <c r="L94" s="17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9"/>
      <c r="J95" s="20" t="str">
        <f>IF($A95="","-",IF($A95&lt;2,"-",IF(SUMIFS(PC_Semanal!$B$6:$B$205,PC_Semanal!$I$6:$I$205,$I95,PC_Semanal!$A$6:$A$205,$A95-1)=0,"-",IF($B95&gt;SUMIFS(PC_Semanal!$B$6:$B$205,PC_Semanal!$I$6:$I$205,$I95,PC_Semanal!$A$6:$A$205,$A95-1),"Mejora",IF($B95&lt;SUMIFS(PC_Semanal!$B$6:$B$205,PC_Semanal!$I$6:$I$205,$I95,PC_Semanal!$A$6:$A$205,$A95-1),"Caída","Igual")))))</f>
        <v>-</v>
      </c>
      <c r="K95" s="11" t="str">
        <f>IF($B95="","",IF($B95&gt;=Inputs!$B$5,"Verde",IF($B95&gt;=Inputs!$B$5*Inputs!$B$8,"Amarillo","Rojo")))</f>
        <v/>
      </c>
      <c r="L95" s="16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9"/>
      <c r="J96" s="20" t="str">
        <f>IF($A96="","-",IF($A96&lt;2,"-",IF(SUMIFS(PC_Semanal!$B$6:$B$205,PC_Semanal!$I$6:$I$205,$I96,PC_Semanal!$A$6:$A$205,$A96-1)=0,"-",IF($B96&gt;SUMIFS(PC_Semanal!$B$6:$B$205,PC_Semanal!$I$6:$I$205,$I96,PC_Semanal!$A$6:$A$205,$A96-1),"Mejora",IF($B96&lt;SUMIFS(PC_Semanal!$B$6:$B$205,PC_Semanal!$I$6:$I$205,$I96,PC_Semanal!$A$6:$A$205,$A96-1),"Caída","Igual")))))</f>
        <v>-</v>
      </c>
      <c r="K96" s="21" t="str">
        <f>IF($B96="","",IF($B96&gt;=Inputs!$B$5,"Verde",IF($B96&gt;=Inputs!$B$5*Inputs!$B$8,"Amarillo","Rojo")))</f>
        <v/>
      </c>
      <c r="L96" s="17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9"/>
      <c r="J97" s="20" t="str">
        <f>IF($A97="","-",IF($A97&lt;2,"-",IF(SUMIFS(PC_Semanal!$B$6:$B$205,PC_Semanal!$I$6:$I$205,$I97,PC_Semanal!$A$6:$A$205,$A97-1)=0,"-",IF($B97&gt;SUMIFS(PC_Semanal!$B$6:$B$205,PC_Semanal!$I$6:$I$205,$I97,PC_Semanal!$A$6:$A$205,$A97-1),"Mejora",IF($B97&lt;SUMIFS(PC_Semanal!$B$6:$B$205,PC_Semanal!$I$6:$I$205,$I97,PC_Semanal!$A$6:$A$205,$A97-1),"Caída","Igual")))))</f>
        <v>-</v>
      </c>
      <c r="K97" s="11" t="str">
        <f>IF($B97="","",IF($B97&gt;=Inputs!$B$5,"Verde",IF($B97&gt;=Inputs!$B$5*Inputs!$B$8,"Amarillo","Rojo")))</f>
        <v/>
      </c>
      <c r="L97" s="16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9"/>
      <c r="J98" s="20" t="str">
        <f>IF($A98="","-",IF($A98&lt;2,"-",IF(SUMIFS(PC_Semanal!$B$6:$B$205,PC_Semanal!$I$6:$I$205,$I98,PC_Semanal!$A$6:$A$205,$A98-1)=0,"-",IF($B98&gt;SUMIFS(PC_Semanal!$B$6:$B$205,PC_Semanal!$I$6:$I$205,$I98,PC_Semanal!$A$6:$A$205,$A98-1),"Mejora",IF($B98&lt;SUMIFS(PC_Semanal!$B$6:$B$205,PC_Semanal!$I$6:$I$205,$I98,PC_Semanal!$A$6:$A$205,$A98-1),"Caída","Igual")))))</f>
        <v>-</v>
      </c>
      <c r="K98" s="21" t="str">
        <f>IF($B98="","",IF($B98&gt;=Inputs!$B$5,"Verde",IF($B98&gt;=Inputs!$B$5*Inputs!$B$8,"Amarillo","Rojo")))</f>
        <v/>
      </c>
      <c r="L98" s="17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9"/>
      <c r="J99" s="20" t="str">
        <f>IF($A99="","-",IF($A99&lt;2,"-",IF(SUMIFS(PC_Semanal!$B$6:$B$205,PC_Semanal!$I$6:$I$205,$I99,PC_Semanal!$A$6:$A$205,$A99-1)=0,"-",IF($B99&gt;SUMIFS(PC_Semanal!$B$6:$B$205,PC_Semanal!$I$6:$I$205,$I99,PC_Semanal!$A$6:$A$205,$A99-1),"Mejora",IF($B99&lt;SUMIFS(PC_Semanal!$B$6:$B$205,PC_Semanal!$I$6:$I$205,$I99,PC_Semanal!$A$6:$A$205,$A99-1),"Caída","Igual")))))</f>
        <v>-</v>
      </c>
      <c r="K99" s="11" t="str">
        <f>IF($B99="","",IF($B99&gt;=Inputs!$B$5,"Verde",IF($B99&gt;=Inputs!$B$5*Inputs!$B$8,"Amarillo","Rojo")))</f>
        <v/>
      </c>
      <c r="L99" s="16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9"/>
      <c r="J100" s="20" t="str">
        <f>IF($A100="","-",IF($A100&lt;2,"-",IF(SUMIFS(PC_Semanal!$B$6:$B$205,PC_Semanal!$I$6:$I$205,$I100,PC_Semanal!$A$6:$A$205,$A100-1)=0,"-",IF($B100&gt;SUMIFS(PC_Semanal!$B$6:$B$205,PC_Semanal!$I$6:$I$205,$I100,PC_Semanal!$A$6:$A$205,$A100-1),"Mejora",IF($B100&lt;SUMIFS(PC_Semanal!$B$6:$B$205,PC_Semanal!$I$6:$I$205,$I100,PC_Semanal!$A$6:$A$205,$A100-1),"Caída","Igual")))))</f>
        <v>-</v>
      </c>
      <c r="K100" s="21" t="str">
        <f>IF($B100="","",IF($B100&gt;=Inputs!$B$5,"Verde",IF($B100&gt;=Inputs!$B$5*Inputs!$B$8,"Amarillo","Rojo")))</f>
        <v/>
      </c>
      <c r="L100" s="17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9"/>
      <c r="J101" s="20" t="str">
        <f>IF($A101="","-",IF($A101&lt;2,"-",IF(SUMIFS(PC_Semanal!$B$6:$B$205,PC_Semanal!$I$6:$I$205,$I101,PC_Semanal!$A$6:$A$205,$A101-1)=0,"-",IF($B101&gt;SUMIFS(PC_Semanal!$B$6:$B$205,PC_Semanal!$I$6:$I$205,$I101,PC_Semanal!$A$6:$A$205,$A101-1),"Mejora",IF($B101&lt;SUMIFS(PC_Semanal!$B$6:$B$205,PC_Semanal!$I$6:$I$205,$I101,PC_Semanal!$A$6:$A$205,$A101-1),"Caída","Igual")))))</f>
        <v>-</v>
      </c>
      <c r="K101" s="11" t="str">
        <f>IF($B101="","",IF($B101&gt;=Inputs!$B$5,"Verde",IF($B101&gt;=Inputs!$B$5*Inputs!$B$8,"Amarillo","Rojo")))</f>
        <v/>
      </c>
      <c r="L101" s="16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9"/>
      <c r="J102" s="20" t="str">
        <f>IF($A102="","-",IF($A102&lt;2,"-",IF(SUMIFS(PC_Semanal!$B$6:$B$205,PC_Semanal!$I$6:$I$205,$I102,PC_Semanal!$A$6:$A$205,$A102-1)=0,"-",IF($B102&gt;SUMIFS(PC_Semanal!$B$6:$B$205,PC_Semanal!$I$6:$I$205,$I102,PC_Semanal!$A$6:$A$205,$A102-1),"Mejora",IF($B102&lt;SUMIFS(PC_Semanal!$B$6:$B$205,PC_Semanal!$I$6:$I$205,$I102,PC_Semanal!$A$6:$A$205,$A102-1),"Caída","Igual")))))</f>
        <v>-</v>
      </c>
      <c r="K102" s="21" t="str">
        <f>IF($B102="","",IF($B102&gt;=Inputs!$B$5,"Verde",IF($B102&gt;=Inputs!$B$5*Inputs!$B$8,"Amarillo","Rojo")))</f>
        <v/>
      </c>
      <c r="L102" s="17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9"/>
      <c r="J103" s="20" t="str">
        <f>IF($A103="","-",IF($A103&lt;2,"-",IF(SUMIFS(PC_Semanal!$B$6:$B$205,PC_Semanal!$I$6:$I$205,$I103,PC_Semanal!$A$6:$A$205,$A103-1)=0,"-",IF($B103&gt;SUMIFS(PC_Semanal!$B$6:$B$205,PC_Semanal!$I$6:$I$205,$I103,PC_Semanal!$A$6:$A$205,$A103-1),"Mejora",IF($B103&lt;SUMIFS(PC_Semanal!$B$6:$B$205,PC_Semanal!$I$6:$I$205,$I103,PC_Semanal!$A$6:$A$205,$A103-1),"Caída","Igual")))))</f>
        <v>-</v>
      </c>
      <c r="K103" s="11" t="str">
        <f>IF($B103="","",IF($B103&gt;=Inputs!$B$5,"Verde",IF($B103&gt;=Inputs!$B$5*Inputs!$B$8,"Amarillo","Rojo")))</f>
        <v/>
      </c>
      <c r="L103" s="16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9"/>
      <c r="J104" s="20" t="str">
        <f>IF($A104="","-",IF($A104&lt;2,"-",IF(SUMIFS(PC_Semanal!$B$6:$B$205,PC_Semanal!$I$6:$I$205,$I104,PC_Semanal!$A$6:$A$205,$A104-1)=0,"-",IF($B104&gt;SUMIFS(PC_Semanal!$B$6:$B$205,PC_Semanal!$I$6:$I$205,$I104,PC_Semanal!$A$6:$A$205,$A104-1),"Mejora",IF($B104&lt;SUMIFS(PC_Semanal!$B$6:$B$205,PC_Semanal!$I$6:$I$205,$I104,PC_Semanal!$A$6:$A$205,$A104-1),"Caída","Igual")))))</f>
        <v>-</v>
      </c>
      <c r="K104" s="21" t="str">
        <f>IF($B104="","",IF($B104&gt;=Inputs!$B$5,"Verde",IF($B104&gt;=Inputs!$B$5*Inputs!$B$8,"Amarillo","Rojo")))</f>
        <v/>
      </c>
      <c r="L104" s="17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9"/>
      <c r="J105" s="20" t="str">
        <f>IF($A105="","-",IF($A105&lt;2,"-",IF(SUMIFS(PC_Semanal!$B$6:$B$205,PC_Semanal!$I$6:$I$205,$I105,PC_Semanal!$A$6:$A$205,$A105-1)=0,"-",IF($B105&gt;SUMIFS(PC_Semanal!$B$6:$B$205,PC_Semanal!$I$6:$I$205,$I105,PC_Semanal!$A$6:$A$205,$A105-1),"Mejora",IF($B105&lt;SUMIFS(PC_Semanal!$B$6:$B$205,PC_Semanal!$I$6:$I$205,$I105,PC_Semanal!$A$6:$A$205,$A105-1),"Caída","Igual")))))</f>
        <v>-</v>
      </c>
      <c r="K105" s="11" t="str">
        <f>IF($B105="","",IF($B105&gt;=Inputs!$B$5,"Verde",IF($B105&gt;=Inputs!$B$5*Inputs!$B$8,"Amarillo","Rojo")))</f>
        <v/>
      </c>
      <c r="L105" s="16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9"/>
      <c r="J106" s="20" t="str">
        <f>IF($A106="","-",IF($A106&lt;2,"-",IF(SUMIFS(PC_Semanal!$B$6:$B$205,PC_Semanal!$I$6:$I$205,$I106,PC_Semanal!$A$6:$A$205,$A106-1)=0,"-",IF($B106&gt;SUMIFS(PC_Semanal!$B$6:$B$205,PC_Semanal!$I$6:$I$205,$I106,PC_Semanal!$A$6:$A$205,$A106-1),"Mejora",IF($B106&lt;SUMIFS(PC_Semanal!$B$6:$B$205,PC_Semanal!$I$6:$I$205,$I106,PC_Semanal!$A$6:$A$205,$A106-1),"Caída","Igual")))))</f>
        <v>-</v>
      </c>
      <c r="K106" s="21" t="str">
        <f>IF($B106="","",IF($B106&gt;=Inputs!$B$5,"Verde",IF($B106&gt;=Inputs!$B$5*Inputs!$B$8,"Amarillo","Rojo")))</f>
        <v/>
      </c>
      <c r="L106" s="17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9"/>
      <c r="J107" s="20" t="str">
        <f>IF($A107="","-",IF($A107&lt;2,"-",IF(SUMIFS(PC_Semanal!$B$6:$B$205,PC_Semanal!$I$6:$I$205,$I107,PC_Semanal!$A$6:$A$205,$A107-1)=0,"-",IF($B107&gt;SUMIFS(PC_Semanal!$B$6:$B$205,PC_Semanal!$I$6:$I$205,$I107,PC_Semanal!$A$6:$A$205,$A107-1),"Mejora",IF($B107&lt;SUMIFS(PC_Semanal!$B$6:$B$205,PC_Semanal!$I$6:$I$205,$I107,PC_Semanal!$A$6:$A$205,$A107-1),"Caída","Igual")))))</f>
        <v>-</v>
      </c>
      <c r="K107" s="11" t="str">
        <f>IF($B107="","",IF($B107&gt;=Inputs!$B$5,"Verde",IF($B107&gt;=Inputs!$B$5*Inputs!$B$8,"Amarillo","Rojo")))</f>
        <v/>
      </c>
      <c r="L107" s="16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9"/>
      <c r="J108" s="20" t="str">
        <f>IF($A108="","-",IF($A108&lt;2,"-",IF(SUMIFS(PC_Semanal!$B$6:$B$205,PC_Semanal!$I$6:$I$205,$I108,PC_Semanal!$A$6:$A$205,$A108-1)=0,"-",IF($B108&gt;SUMIFS(PC_Semanal!$B$6:$B$205,PC_Semanal!$I$6:$I$205,$I108,PC_Semanal!$A$6:$A$205,$A108-1),"Mejora",IF($B108&lt;SUMIFS(PC_Semanal!$B$6:$B$205,PC_Semanal!$I$6:$I$205,$I108,PC_Semanal!$A$6:$A$205,$A108-1),"Caída","Igual")))))</f>
        <v>-</v>
      </c>
      <c r="K108" s="21" t="str">
        <f>IF($B108="","",IF($B108&gt;=Inputs!$B$5,"Verde",IF($B108&gt;=Inputs!$B$5*Inputs!$B$8,"Amarillo","Rojo")))</f>
        <v/>
      </c>
      <c r="L108" s="17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9"/>
      <c r="J109" s="20" t="str">
        <f>IF($A109="","-",IF($A109&lt;2,"-",IF(SUMIFS(PC_Semanal!$B$6:$B$205,PC_Semanal!$I$6:$I$205,$I109,PC_Semanal!$A$6:$A$205,$A109-1)=0,"-",IF($B109&gt;SUMIFS(PC_Semanal!$B$6:$B$205,PC_Semanal!$I$6:$I$205,$I109,PC_Semanal!$A$6:$A$205,$A109-1),"Mejora",IF($B109&lt;SUMIFS(PC_Semanal!$B$6:$B$205,PC_Semanal!$I$6:$I$205,$I109,PC_Semanal!$A$6:$A$205,$A109-1),"Caída","Igual")))))</f>
        <v>-</v>
      </c>
      <c r="K109" s="11" t="str">
        <f>IF($B109="","",IF($B109&gt;=Inputs!$B$5,"Verde",IF($B109&gt;=Inputs!$B$5*Inputs!$B$8,"Amarillo","Rojo")))</f>
        <v/>
      </c>
      <c r="L109" s="16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9"/>
      <c r="J110" s="20" t="str">
        <f>IF($A110="","-",IF($A110&lt;2,"-",IF(SUMIFS(PC_Semanal!$B$6:$B$205,PC_Semanal!$I$6:$I$205,$I110,PC_Semanal!$A$6:$A$205,$A110-1)=0,"-",IF($B110&gt;SUMIFS(PC_Semanal!$B$6:$B$205,PC_Semanal!$I$6:$I$205,$I110,PC_Semanal!$A$6:$A$205,$A110-1),"Mejora",IF($B110&lt;SUMIFS(PC_Semanal!$B$6:$B$205,PC_Semanal!$I$6:$I$205,$I110,PC_Semanal!$A$6:$A$205,$A110-1),"Caída","Igual")))))</f>
        <v>-</v>
      </c>
      <c r="K110" s="21" t="str">
        <f>IF($B110="","",IF($B110&gt;=Inputs!$B$5,"Verde",IF($B110&gt;=Inputs!$B$5*Inputs!$B$8,"Amarillo","Rojo")))</f>
        <v/>
      </c>
      <c r="L110" s="17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9"/>
      <c r="J111" s="20" t="str">
        <f>IF($A111="","-",IF($A111&lt;2,"-",IF(SUMIFS(PC_Semanal!$B$6:$B$205,PC_Semanal!$I$6:$I$205,$I111,PC_Semanal!$A$6:$A$205,$A111-1)=0,"-",IF($B111&gt;SUMIFS(PC_Semanal!$B$6:$B$205,PC_Semanal!$I$6:$I$205,$I111,PC_Semanal!$A$6:$A$205,$A111-1),"Mejora",IF($B111&lt;SUMIFS(PC_Semanal!$B$6:$B$205,PC_Semanal!$I$6:$I$205,$I111,PC_Semanal!$A$6:$A$205,$A111-1),"Caída","Igual")))))</f>
        <v>-</v>
      </c>
      <c r="K111" s="11" t="str">
        <f>IF($B111="","",IF($B111&gt;=Inputs!$B$5,"Verde",IF($B111&gt;=Inputs!$B$5*Inputs!$B$8,"Amarillo","Rojo")))</f>
        <v/>
      </c>
      <c r="L111" s="16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9"/>
      <c r="J112" s="20" t="str">
        <f>IF($A112="","-",IF($A112&lt;2,"-",IF(SUMIFS(PC_Semanal!$B$6:$B$205,PC_Semanal!$I$6:$I$205,$I112,PC_Semanal!$A$6:$A$205,$A112-1)=0,"-",IF($B112&gt;SUMIFS(PC_Semanal!$B$6:$B$205,PC_Semanal!$I$6:$I$205,$I112,PC_Semanal!$A$6:$A$205,$A112-1),"Mejora",IF($B112&lt;SUMIFS(PC_Semanal!$B$6:$B$205,PC_Semanal!$I$6:$I$205,$I112,PC_Semanal!$A$6:$A$205,$A112-1),"Caída","Igual")))))</f>
        <v>-</v>
      </c>
      <c r="K112" s="21" t="str">
        <f>IF($B112="","",IF($B112&gt;=Inputs!$B$5,"Verde",IF($B112&gt;=Inputs!$B$5*Inputs!$B$8,"Amarillo","Rojo")))</f>
        <v/>
      </c>
      <c r="L112" s="17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9"/>
      <c r="J113" s="20" t="str">
        <f>IF($A113="","-",IF($A113&lt;2,"-",IF(SUMIFS(PC_Semanal!$B$6:$B$205,PC_Semanal!$I$6:$I$205,$I113,PC_Semanal!$A$6:$A$205,$A113-1)=0,"-",IF($B113&gt;SUMIFS(PC_Semanal!$B$6:$B$205,PC_Semanal!$I$6:$I$205,$I113,PC_Semanal!$A$6:$A$205,$A113-1),"Mejora",IF($B113&lt;SUMIFS(PC_Semanal!$B$6:$B$205,PC_Semanal!$I$6:$I$205,$I113,PC_Semanal!$A$6:$A$205,$A113-1),"Caída","Igual")))))</f>
        <v>-</v>
      </c>
      <c r="K113" s="11" t="str">
        <f>IF($B113="","",IF($B113&gt;=Inputs!$B$5,"Verde",IF($B113&gt;=Inputs!$B$5*Inputs!$B$8,"Amarillo","Rojo")))</f>
        <v/>
      </c>
      <c r="L113" s="16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9"/>
      <c r="J114" s="20" t="str">
        <f>IF($A114="","-",IF($A114&lt;2,"-",IF(SUMIFS(PC_Semanal!$B$6:$B$205,PC_Semanal!$I$6:$I$205,$I114,PC_Semanal!$A$6:$A$205,$A114-1)=0,"-",IF($B114&gt;SUMIFS(PC_Semanal!$B$6:$B$205,PC_Semanal!$I$6:$I$205,$I114,PC_Semanal!$A$6:$A$205,$A114-1),"Mejora",IF($B114&lt;SUMIFS(PC_Semanal!$B$6:$B$205,PC_Semanal!$I$6:$I$205,$I114,PC_Semanal!$A$6:$A$205,$A114-1),"Caída","Igual")))))</f>
        <v>-</v>
      </c>
      <c r="K114" s="21" t="str">
        <f>IF($B114="","",IF($B114&gt;=Inputs!$B$5,"Verde",IF($B114&gt;=Inputs!$B$5*Inputs!$B$8,"Amarillo","Rojo")))</f>
        <v/>
      </c>
      <c r="L114" s="17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9"/>
      <c r="J115" s="20" t="str">
        <f>IF($A115="","-",IF($A115&lt;2,"-",IF(SUMIFS(PC_Semanal!$B$6:$B$205,PC_Semanal!$I$6:$I$205,$I115,PC_Semanal!$A$6:$A$205,$A115-1)=0,"-",IF($B115&gt;SUMIFS(PC_Semanal!$B$6:$B$205,PC_Semanal!$I$6:$I$205,$I115,PC_Semanal!$A$6:$A$205,$A115-1),"Mejora",IF($B115&lt;SUMIFS(PC_Semanal!$B$6:$B$205,PC_Semanal!$I$6:$I$205,$I115,PC_Semanal!$A$6:$A$205,$A115-1),"Caída","Igual")))))</f>
        <v>-</v>
      </c>
      <c r="K115" s="11" t="str">
        <f>IF($B115="","",IF($B115&gt;=Inputs!$B$5,"Verde",IF($B115&gt;=Inputs!$B$5*Inputs!$B$8,"Amarillo","Rojo")))</f>
        <v/>
      </c>
      <c r="L115" s="16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9"/>
      <c r="J116" s="20" t="str">
        <f>IF($A116="","-",IF($A116&lt;2,"-",IF(SUMIFS(PC_Semanal!$B$6:$B$205,PC_Semanal!$I$6:$I$205,$I116,PC_Semanal!$A$6:$A$205,$A116-1)=0,"-",IF($B116&gt;SUMIFS(PC_Semanal!$B$6:$B$205,PC_Semanal!$I$6:$I$205,$I116,PC_Semanal!$A$6:$A$205,$A116-1),"Mejora",IF($B116&lt;SUMIFS(PC_Semanal!$B$6:$B$205,PC_Semanal!$I$6:$I$205,$I116,PC_Semanal!$A$6:$A$205,$A116-1),"Caída","Igual")))))</f>
        <v>-</v>
      </c>
      <c r="K116" s="21" t="str">
        <f>IF($B116="","",IF($B116&gt;=Inputs!$B$5,"Verde",IF($B116&gt;=Inputs!$B$5*Inputs!$B$8,"Amarillo","Rojo")))</f>
        <v/>
      </c>
      <c r="L116" s="17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9"/>
      <c r="J117" s="20" t="str">
        <f>IF($A117="","-",IF($A117&lt;2,"-",IF(SUMIFS(PC_Semanal!$B$6:$B$205,PC_Semanal!$I$6:$I$205,$I117,PC_Semanal!$A$6:$A$205,$A117-1)=0,"-",IF($B117&gt;SUMIFS(PC_Semanal!$B$6:$B$205,PC_Semanal!$I$6:$I$205,$I117,PC_Semanal!$A$6:$A$205,$A117-1),"Mejora",IF($B117&lt;SUMIFS(PC_Semanal!$B$6:$B$205,PC_Semanal!$I$6:$I$205,$I117,PC_Semanal!$A$6:$A$205,$A117-1),"Caída","Igual")))))</f>
        <v>-</v>
      </c>
      <c r="K117" s="11" t="str">
        <f>IF($B117="","",IF($B117&gt;=Inputs!$B$5,"Verde",IF($B117&gt;=Inputs!$B$5*Inputs!$B$8,"Amarillo","Rojo")))</f>
        <v/>
      </c>
      <c r="L117" s="16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9"/>
      <c r="J118" s="20" t="str">
        <f>IF($A118="","-",IF($A118&lt;2,"-",IF(SUMIFS(PC_Semanal!$B$6:$B$205,PC_Semanal!$I$6:$I$205,$I118,PC_Semanal!$A$6:$A$205,$A118-1)=0,"-",IF($B118&gt;SUMIFS(PC_Semanal!$B$6:$B$205,PC_Semanal!$I$6:$I$205,$I118,PC_Semanal!$A$6:$A$205,$A118-1),"Mejora",IF($B118&lt;SUMIFS(PC_Semanal!$B$6:$B$205,PC_Semanal!$I$6:$I$205,$I118,PC_Semanal!$A$6:$A$205,$A118-1),"Caída","Igual")))))</f>
        <v>-</v>
      </c>
      <c r="K118" s="21" t="str">
        <f>IF($B118="","",IF($B118&gt;=Inputs!$B$5,"Verde",IF($B118&gt;=Inputs!$B$5*Inputs!$B$8,"Amarillo","Rojo")))</f>
        <v/>
      </c>
      <c r="L118" s="17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9"/>
      <c r="J119" s="20" t="str">
        <f>IF($A119="","-",IF($A119&lt;2,"-",IF(SUMIFS(PC_Semanal!$B$6:$B$205,PC_Semanal!$I$6:$I$205,$I119,PC_Semanal!$A$6:$A$205,$A119-1)=0,"-",IF($B119&gt;SUMIFS(PC_Semanal!$B$6:$B$205,PC_Semanal!$I$6:$I$205,$I119,PC_Semanal!$A$6:$A$205,$A119-1),"Mejora",IF($B119&lt;SUMIFS(PC_Semanal!$B$6:$B$205,PC_Semanal!$I$6:$I$205,$I119,PC_Semanal!$A$6:$A$205,$A119-1),"Caída","Igual")))))</f>
        <v>-</v>
      </c>
      <c r="K119" s="11" t="str">
        <f>IF($B119="","",IF($B119&gt;=Inputs!$B$5,"Verde",IF($B119&gt;=Inputs!$B$5*Inputs!$B$8,"Amarillo","Rojo")))</f>
        <v/>
      </c>
      <c r="L119" s="16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9"/>
      <c r="J120" s="20" t="str">
        <f>IF($A120="","-",IF($A120&lt;2,"-",IF(SUMIFS(PC_Semanal!$B$6:$B$205,PC_Semanal!$I$6:$I$205,$I120,PC_Semanal!$A$6:$A$205,$A120-1)=0,"-",IF($B120&gt;SUMIFS(PC_Semanal!$B$6:$B$205,PC_Semanal!$I$6:$I$205,$I120,PC_Semanal!$A$6:$A$205,$A120-1),"Mejora",IF($B120&lt;SUMIFS(PC_Semanal!$B$6:$B$205,PC_Semanal!$I$6:$I$205,$I120,PC_Semanal!$A$6:$A$205,$A120-1),"Caída","Igual")))))</f>
        <v>-</v>
      </c>
      <c r="K120" s="21" t="str">
        <f>IF($B120="","",IF($B120&gt;=Inputs!$B$5,"Verde",IF($B120&gt;=Inputs!$B$5*Inputs!$B$8,"Amarillo","Rojo")))</f>
        <v/>
      </c>
      <c r="L120" s="17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9"/>
      <c r="J121" s="20" t="str">
        <f>IF($A121="","-",IF($A121&lt;2,"-",IF(SUMIFS(PC_Semanal!$B$6:$B$205,PC_Semanal!$I$6:$I$205,$I121,PC_Semanal!$A$6:$A$205,$A121-1)=0,"-",IF($B121&gt;SUMIFS(PC_Semanal!$B$6:$B$205,PC_Semanal!$I$6:$I$205,$I121,PC_Semanal!$A$6:$A$205,$A121-1),"Mejora",IF($B121&lt;SUMIFS(PC_Semanal!$B$6:$B$205,PC_Semanal!$I$6:$I$205,$I121,PC_Semanal!$A$6:$A$205,$A121-1),"Caída","Igual")))))</f>
        <v>-</v>
      </c>
      <c r="K121" s="11" t="str">
        <f>IF($B121="","",IF($B121&gt;=Inputs!$B$5,"Verde",IF($B121&gt;=Inputs!$B$5*Inputs!$B$8,"Amarillo","Rojo")))</f>
        <v/>
      </c>
      <c r="L121" s="16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9"/>
      <c r="J122" s="20" t="str">
        <f>IF($A122="","-",IF($A122&lt;2,"-",IF(SUMIFS(PC_Semanal!$B$6:$B$205,PC_Semanal!$I$6:$I$205,$I122,PC_Semanal!$A$6:$A$205,$A122-1)=0,"-",IF($B122&gt;SUMIFS(PC_Semanal!$B$6:$B$205,PC_Semanal!$I$6:$I$205,$I122,PC_Semanal!$A$6:$A$205,$A122-1),"Mejora",IF($B122&lt;SUMIFS(PC_Semanal!$B$6:$B$205,PC_Semanal!$I$6:$I$205,$I122,PC_Semanal!$A$6:$A$205,$A122-1),"Caída","Igual")))))</f>
        <v>-</v>
      </c>
      <c r="K122" s="21" t="str">
        <f>IF($B122="","",IF($B122&gt;=Inputs!$B$5,"Verde",IF($B122&gt;=Inputs!$B$5*Inputs!$B$8,"Amarillo","Rojo")))</f>
        <v/>
      </c>
      <c r="L122" s="17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9"/>
      <c r="J123" s="20" t="str">
        <f>IF($A123="","-",IF($A123&lt;2,"-",IF(SUMIFS(PC_Semanal!$B$6:$B$205,PC_Semanal!$I$6:$I$205,$I123,PC_Semanal!$A$6:$A$205,$A123-1)=0,"-",IF($B123&gt;SUMIFS(PC_Semanal!$B$6:$B$205,PC_Semanal!$I$6:$I$205,$I123,PC_Semanal!$A$6:$A$205,$A123-1),"Mejora",IF($B123&lt;SUMIFS(PC_Semanal!$B$6:$B$205,PC_Semanal!$I$6:$I$205,$I123,PC_Semanal!$A$6:$A$205,$A123-1),"Caída","Igual")))))</f>
        <v>-</v>
      </c>
      <c r="K123" s="11" t="str">
        <f>IF($B123="","",IF($B123&gt;=Inputs!$B$5,"Verde",IF($B123&gt;=Inputs!$B$5*Inputs!$B$8,"Amarillo","Rojo")))</f>
        <v/>
      </c>
      <c r="L123" s="16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9"/>
      <c r="J124" s="20" t="str">
        <f>IF($A124="","-",IF($A124&lt;2,"-",IF(SUMIFS(PC_Semanal!$B$6:$B$205,PC_Semanal!$I$6:$I$205,$I124,PC_Semanal!$A$6:$A$205,$A124-1)=0,"-",IF($B124&gt;SUMIFS(PC_Semanal!$B$6:$B$205,PC_Semanal!$I$6:$I$205,$I124,PC_Semanal!$A$6:$A$205,$A124-1),"Mejora",IF($B124&lt;SUMIFS(PC_Semanal!$B$6:$B$205,PC_Semanal!$I$6:$I$205,$I124,PC_Semanal!$A$6:$A$205,$A124-1),"Caída","Igual")))))</f>
        <v>-</v>
      </c>
      <c r="K124" s="21" t="str">
        <f>IF($B124="","",IF($B124&gt;=Inputs!$B$5,"Verde",IF($B124&gt;=Inputs!$B$5*Inputs!$B$8,"Amarillo","Rojo")))</f>
        <v/>
      </c>
      <c r="L124" s="17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9"/>
      <c r="J125" s="20" t="str">
        <f>IF($A125="","-",IF($A125&lt;2,"-",IF(SUMIFS(PC_Semanal!$B$6:$B$205,PC_Semanal!$I$6:$I$205,$I125,PC_Semanal!$A$6:$A$205,$A125-1)=0,"-",IF($B125&gt;SUMIFS(PC_Semanal!$B$6:$B$205,PC_Semanal!$I$6:$I$205,$I125,PC_Semanal!$A$6:$A$205,$A125-1),"Mejora",IF($B125&lt;SUMIFS(PC_Semanal!$B$6:$B$205,PC_Semanal!$I$6:$I$205,$I125,PC_Semanal!$A$6:$A$205,$A125-1),"Caída","Igual")))))</f>
        <v>-</v>
      </c>
      <c r="K125" s="11" t="str">
        <f>IF($B125="","",IF($B125&gt;=Inputs!$B$5,"Verde",IF($B125&gt;=Inputs!$B$5*Inputs!$B$8,"Amarillo","Rojo")))</f>
        <v/>
      </c>
      <c r="L125" s="16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9"/>
      <c r="J126" s="20" t="str">
        <f>IF($A126="","-",IF($A126&lt;2,"-",IF(SUMIFS(PC_Semanal!$B$6:$B$205,PC_Semanal!$I$6:$I$205,$I126,PC_Semanal!$A$6:$A$205,$A126-1)=0,"-",IF($B126&gt;SUMIFS(PC_Semanal!$B$6:$B$205,PC_Semanal!$I$6:$I$205,$I126,PC_Semanal!$A$6:$A$205,$A126-1),"Mejora",IF($B126&lt;SUMIFS(PC_Semanal!$B$6:$B$205,PC_Semanal!$I$6:$I$205,$I126,PC_Semanal!$A$6:$A$205,$A126-1),"Caída","Igual")))))</f>
        <v>-</v>
      </c>
      <c r="K126" s="21" t="str">
        <f>IF($B126="","",IF($B126&gt;=Inputs!$B$5,"Verde",IF($B126&gt;=Inputs!$B$5*Inputs!$B$8,"Amarillo","Rojo")))</f>
        <v/>
      </c>
      <c r="L126" s="17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9"/>
      <c r="J127" s="20" t="str">
        <f>IF($A127="","-",IF($A127&lt;2,"-",IF(SUMIFS(PC_Semanal!$B$6:$B$205,PC_Semanal!$I$6:$I$205,$I127,PC_Semanal!$A$6:$A$205,$A127-1)=0,"-",IF($B127&gt;SUMIFS(PC_Semanal!$B$6:$B$205,PC_Semanal!$I$6:$I$205,$I127,PC_Semanal!$A$6:$A$205,$A127-1),"Mejora",IF($B127&lt;SUMIFS(PC_Semanal!$B$6:$B$205,PC_Semanal!$I$6:$I$205,$I127,PC_Semanal!$A$6:$A$205,$A127-1),"Caída","Igual")))))</f>
        <v>-</v>
      </c>
      <c r="K127" s="11" t="str">
        <f>IF($B127="","",IF($B127&gt;=Inputs!$B$5,"Verde",IF($B127&gt;=Inputs!$B$5*Inputs!$B$8,"Amarillo","Rojo")))</f>
        <v/>
      </c>
      <c r="L127" s="16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9"/>
      <c r="J128" s="20" t="str">
        <f>IF($A128="","-",IF($A128&lt;2,"-",IF(SUMIFS(PC_Semanal!$B$6:$B$205,PC_Semanal!$I$6:$I$205,$I128,PC_Semanal!$A$6:$A$205,$A128-1)=0,"-",IF($B128&gt;SUMIFS(PC_Semanal!$B$6:$B$205,PC_Semanal!$I$6:$I$205,$I128,PC_Semanal!$A$6:$A$205,$A128-1),"Mejora",IF($B128&lt;SUMIFS(PC_Semanal!$B$6:$B$205,PC_Semanal!$I$6:$I$205,$I128,PC_Semanal!$A$6:$A$205,$A128-1),"Caída","Igual")))))</f>
        <v>-</v>
      </c>
      <c r="K128" s="21" t="str">
        <f>IF($B128="","",IF($B128&gt;=Inputs!$B$5,"Verde",IF($B128&gt;=Inputs!$B$5*Inputs!$B$8,"Amarillo","Rojo")))</f>
        <v/>
      </c>
      <c r="L128" s="17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9"/>
      <c r="J129" s="20" t="str">
        <f>IF($A129="","-",IF($A129&lt;2,"-",IF(SUMIFS(PC_Semanal!$B$6:$B$205,PC_Semanal!$I$6:$I$205,$I129,PC_Semanal!$A$6:$A$205,$A129-1)=0,"-",IF($B129&gt;SUMIFS(PC_Semanal!$B$6:$B$205,PC_Semanal!$I$6:$I$205,$I129,PC_Semanal!$A$6:$A$205,$A129-1),"Mejora",IF($B129&lt;SUMIFS(PC_Semanal!$B$6:$B$205,PC_Semanal!$I$6:$I$205,$I129,PC_Semanal!$A$6:$A$205,$A129-1),"Caída","Igual")))))</f>
        <v>-</v>
      </c>
      <c r="K129" s="11" t="str">
        <f>IF($B129="","",IF($B129&gt;=Inputs!$B$5,"Verde",IF($B129&gt;=Inputs!$B$5*Inputs!$B$8,"Amarillo","Rojo")))</f>
        <v/>
      </c>
      <c r="L129" s="16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9"/>
      <c r="J130" s="20" t="str">
        <f>IF($A130="","-",IF($A130&lt;2,"-",IF(SUMIFS(PC_Semanal!$B$6:$B$205,PC_Semanal!$I$6:$I$205,$I130,PC_Semanal!$A$6:$A$205,$A130-1)=0,"-",IF($B130&gt;SUMIFS(PC_Semanal!$B$6:$B$205,PC_Semanal!$I$6:$I$205,$I130,PC_Semanal!$A$6:$A$205,$A130-1),"Mejora",IF($B130&lt;SUMIFS(PC_Semanal!$B$6:$B$205,PC_Semanal!$I$6:$I$205,$I130,PC_Semanal!$A$6:$A$205,$A130-1),"Caída","Igual")))))</f>
        <v>-</v>
      </c>
      <c r="K130" s="21" t="str">
        <f>IF($B130="","",IF($B130&gt;=Inputs!$B$5,"Verde",IF($B130&gt;=Inputs!$B$5*Inputs!$B$8,"Amarillo","Rojo")))</f>
        <v/>
      </c>
      <c r="L130" s="17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9"/>
      <c r="J131" s="20" t="str">
        <f>IF($A131="","-",IF($A131&lt;2,"-",IF(SUMIFS(PC_Semanal!$B$6:$B$205,PC_Semanal!$I$6:$I$205,$I131,PC_Semanal!$A$6:$A$205,$A131-1)=0,"-",IF($B131&gt;SUMIFS(PC_Semanal!$B$6:$B$205,PC_Semanal!$I$6:$I$205,$I131,PC_Semanal!$A$6:$A$205,$A131-1),"Mejora",IF($B131&lt;SUMIFS(PC_Semanal!$B$6:$B$205,PC_Semanal!$I$6:$I$205,$I131,PC_Semanal!$A$6:$A$205,$A131-1),"Caída","Igual")))))</f>
        <v>-</v>
      </c>
      <c r="K131" s="11" t="str">
        <f>IF($B131="","",IF($B131&gt;=Inputs!$B$5,"Verde",IF($B131&gt;=Inputs!$B$5*Inputs!$B$8,"Amarillo","Rojo")))</f>
        <v/>
      </c>
      <c r="L131" s="16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9"/>
      <c r="J132" s="20" t="str">
        <f>IF($A132="","-",IF($A132&lt;2,"-",IF(SUMIFS(PC_Semanal!$B$6:$B$205,PC_Semanal!$I$6:$I$205,$I132,PC_Semanal!$A$6:$A$205,$A132-1)=0,"-",IF($B132&gt;SUMIFS(PC_Semanal!$B$6:$B$205,PC_Semanal!$I$6:$I$205,$I132,PC_Semanal!$A$6:$A$205,$A132-1),"Mejora",IF($B132&lt;SUMIFS(PC_Semanal!$B$6:$B$205,PC_Semanal!$I$6:$I$205,$I132,PC_Semanal!$A$6:$A$205,$A132-1),"Caída","Igual")))))</f>
        <v>-</v>
      </c>
      <c r="K132" s="21" t="str">
        <f>IF($B132="","",IF($B132&gt;=Inputs!$B$5,"Verde",IF($B132&gt;=Inputs!$B$5*Inputs!$B$8,"Amarillo","Rojo")))</f>
        <v/>
      </c>
      <c r="L132" s="17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9"/>
      <c r="J133" s="20" t="str">
        <f>IF($A133="","-",IF($A133&lt;2,"-",IF(SUMIFS(PC_Semanal!$B$6:$B$205,PC_Semanal!$I$6:$I$205,$I133,PC_Semanal!$A$6:$A$205,$A133-1)=0,"-",IF($B133&gt;SUMIFS(PC_Semanal!$B$6:$B$205,PC_Semanal!$I$6:$I$205,$I133,PC_Semanal!$A$6:$A$205,$A133-1),"Mejora",IF($B133&lt;SUMIFS(PC_Semanal!$B$6:$B$205,PC_Semanal!$I$6:$I$205,$I133,PC_Semanal!$A$6:$A$205,$A133-1),"Caída","Igual")))))</f>
        <v>-</v>
      </c>
      <c r="K133" s="11" t="str">
        <f>IF($B133="","",IF($B133&gt;=Inputs!$B$5,"Verde",IF($B133&gt;=Inputs!$B$5*Inputs!$B$8,"Amarillo","Rojo")))</f>
        <v/>
      </c>
      <c r="L133" s="16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9"/>
      <c r="J134" s="20" t="str">
        <f>IF($A134="","-",IF($A134&lt;2,"-",IF(SUMIFS(PC_Semanal!$B$6:$B$205,PC_Semanal!$I$6:$I$205,$I134,PC_Semanal!$A$6:$A$205,$A134-1)=0,"-",IF($B134&gt;SUMIFS(PC_Semanal!$B$6:$B$205,PC_Semanal!$I$6:$I$205,$I134,PC_Semanal!$A$6:$A$205,$A134-1),"Mejora",IF($B134&lt;SUMIFS(PC_Semanal!$B$6:$B$205,PC_Semanal!$I$6:$I$205,$I134,PC_Semanal!$A$6:$A$205,$A134-1),"Caída","Igual")))))</f>
        <v>-</v>
      </c>
      <c r="K134" s="21" t="str">
        <f>IF($B134="","",IF($B134&gt;=Inputs!$B$5,"Verde",IF($B134&gt;=Inputs!$B$5*Inputs!$B$8,"Amarillo","Rojo")))</f>
        <v/>
      </c>
      <c r="L134" s="17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9"/>
      <c r="J135" s="20" t="str">
        <f>IF($A135="","-",IF($A135&lt;2,"-",IF(SUMIFS(PC_Semanal!$B$6:$B$205,PC_Semanal!$I$6:$I$205,$I135,PC_Semanal!$A$6:$A$205,$A135-1)=0,"-",IF($B135&gt;SUMIFS(PC_Semanal!$B$6:$B$205,PC_Semanal!$I$6:$I$205,$I135,PC_Semanal!$A$6:$A$205,$A135-1),"Mejora",IF($B135&lt;SUMIFS(PC_Semanal!$B$6:$B$205,PC_Semanal!$I$6:$I$205,$I135,PC_Semanal!$A$6:$A$205,$A135-1),"Caída","Igual")))))</f>
        <v>-</v>
      </c>
      <c r="K135" s="11" t="str">
        <f>IF($B135="","",IF($B135&gt;=Inputs!$B$5,"Verde",IF($B135&gt;=Inputs!$B$5*Inputs!$B$8,"Amarillo","Rojo")))</f>
        <v/>
      </c>
      <c r="L135" s="16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9"/>
      <c r="J136" s="20" t="str">
        <f>IF($A136="","-",IF($A136&lt;2,"-",IF(SUMIFS(PC_Semanal!$B$6:$B$205,PC_Semanal!$I$6:$I$205,$I136,PC_Semanal!$A$6:$A$205,$A136-1)=0,"-",IF($B136&gt;SUMIFS(PC_Semanal!$B$6:$B$205,PC_Semanal!$I$6:$I$205,$I136,PC_Semanal!$A$6:$A$205,$A136-1),"Mejora",IF($B136&lt;SUMIFS(PC_Semanal!$B$6:$B$205,PC_Semanal!$I$6:$I$205,$I136,PC_Semanal!$A$6:$A$205,$A136-1),"Caída","Igual")))))</f>
        <v>-</v>
      </c>
      <c r="K136" s="21" t="str">
        <f>IF($B136="","",IF($B136&gt;=Inputs!$B$5,"Verde",IF($B136&gt;=Inputs!$B$5*Inputs!$B$8,"Amarillo","Rojo")))</f>
        <v/>
      </c>
      <c r="L136" s="17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9"/>
      <c r="J137" s="20" t="str">
        <f>IF($A137="","-",IF($A137&lt;2,"-",IF(SUMIFS(PC_Semanal!$B$6:$B$205,PC_Semanal!$I$6:$I$205,$I137,PC_Semanal!$A$6:$A$205,$A137-1)=0,"-",IF($B137&gt;SUMIFS(PC_Semanal!$B$6:$B$205,PC_Semanal!$I$6:$I$205,$I137,PC_Semanal!$A$6:$A$205,$A137-1),"Mejora",IF($B137&lt;SUMIFS(PC_Semanal!$B$6:$B$205,PC_Semanal!$I$6:$I$205,$I137,PC_Semanal!$A$6:$A$205,$A137-1),"Caída","Igual")))))</f>
        <v>-</v>
      </c>
      <c r="K137" s="11" t="str">
        <f>IF($B137="","",IF($B137&gt;=Inputs!$B$5,"Verde",IF($B137&gt;=Inputs!$B$5*Inputs!$B$8,"Amarillo","Rojo")))</f>
        <v/>
      </c>
      <c r="L137" s="16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9"/>
      <c r="J138" s="20" t="str">
        <f>IF($A138="","-",IF($A138&lt;2,"-",IF(SUMIFS(PC_Semanal!$B$6:$B$205,PC_Semanal!$I$6:$I$205,$I138,PC_Semanal!$A$6:$A$205,$A138-1)=0,"-",IF($B138&gt;SUMIFS(PC_Semanal!$B$6:$B$205,PC_Semanal!$I$6:$I$205,$I138,PC_Semanal!$A$6:$A$205,$A138-1),"Mejora",IF($B138&lt;SUMIFS(PC_Semanal!$B$6:$B$205,PC_Semanal!$I$6:$I$205,$I138,PC_Semanal!$A$6:$A$205,$A138-1),"Caída","Igual")))))</f>
        <v>-</v>
      </c>
      <c r="K138" s="21" t="str">
        <f>IF($B138="","",IF($B138&gt;=Inputs!$B$5,"Verde",IF($B138&gt;=Inputs!$B$5*Inputs!$B$8,"Amarillo","Rojo")))</f>
        <v/>
      </c>
      <c r="L138" s="17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9"/>
      <c r="J139" s="20" t="str">
        <f>IF($A139="","-",IF($A139&lt;2,"-",IF(SUMIFS(PC_Semanal!$B$6:$B$205,PC_Semanal!$I$6:$I$205,$I139,PC_Semanal!$A$6:$A$205,$A139-1)=0,"-",IF($B139&gt;SUMIFS(PC_Semanal!$B$6:$B$205,PC_Semanal!$I$6:$I$205,$I139,PC_Semanal!$A$6:$A$205,$A139-1),"Mejora",IF($B139&lt;SUMIFS(PC_Semanal!$B$6:$B$205,PC_Semanal!$I$6:$I$205,$I139,PC_Semanal!$A$6:$A$205,$A139-1),"Caída","Igual")))))</f>
        <v>-</v>
      </c>
      <c r="K139" s="11" t="str">
        <f>IF($B139="","",IF($B139&gt;=Inputs!$B$5,"Verde",IF($B139&gt;=Inputs!$B$5*Inputs!$B$8,"Amarillo","Rojo")))</f>
        <v/>
      </c>
      <c r="L139" s="16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9"/>
      <c r="J140" s="20" t="str">
        <f>IF($A140="","-",IF($A140&lt;2,"-",IF(SUMIFS(PC_Semanal!$B$6:$B$205,PC_Semanal!$I$6:$I$205,$I140,PC_Semanal!$A$6:$A$205,$A140-1)=0,"-",IF($B140&gt;SUMIFS(PC_Semanal!$B$6:$B$205,PC_Semanal!$I$6:$I$205,$I140,PC_Semanal!$A$6:$A$205,$A140-1),"Mejora",IF($B140&lt;SUMIFS(PC_Semanal!$B$6:$B$205,PC_Semanal!$I$6:$I$205,$I140,PC_Semanal!$A$6:$A$205,$A140-1),"Caída","Igual")))))</f>
        <v>-</v>
      </c>
      <c r="K140" s="21" t="str">
        <f>IF($B140="","",IF($B140&gt;=Inputs!$B$5,"Verde",IF($B140&gt;=Inputs!$B$5*Inputs!$B$8,"Amarillo","Rojo")))</f>
        <v/>
      </c>
      <c r="L140" s="17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9"/>
      <c r="J141" s="20" t="str">
        <f>IF($A141="","-",IF($A141&lt;2,"-",IF(SUMIFS(PC_Semanal!$B$6:$B$205,PC_Semanal!$I$6:$I$205,$I141,PC_Semanal!$A$6:$A$205,$A141-1)=0,"-",IF($B141&gt;SUMIFS(PC_Semanal!$B$6:$B$205,PC_Semanal!$I$6:$I$205,$I141,PC_Semanal!$A$6:$A$205,$A141-1),"Mejora",IF($B141&lt;SUMIFS(PC_Semanal!$B$6:$B$205,PC_Semanal!$I$6:$I$205,$I141,PC_Semanal!$A$6:$A$205,$A141-1),"Caída","Igual")))))</f>
        <v>-</v>
      </c>
      <c r="K141" s="11" t="str">
        <f>IF($B141="","",IF($B141&gt;=Inputs!$B$5,"Verde",IF($B141&gt;=Inputs!$B$5*Inputs!$B$8,"Amarillo","Rojo")))</f>
        <v/>
      </c>
      <c r="L141" s="16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9"/>
      <c r="J142" s="20" t="str">
        <f>IF($A142="","-",IF($A142&lt;2,"-",IF(SUMIFS(PC_Semanal!$B$6:$B$205,PC_Semanal!$I$6:$I$205,$I142,PC_Semanal!$A$6:$A$205,$A142-1)=0,"-",IF($B142&gt;SUMIFS(PC_Semanal!$B$6:$B$205,PC_Semanal!$I$6:$I$205,$I142,PC_Semanal!$A$6:$A$205,$A142-1),"Mejora",IF($B142&lt;SUMIFS(PC_Semanal!$B$6:$B$205,PC_Semanal!$I$6:$I$205,$I142,PC_Semanal!$A$6:$A$205,$A142-1),"Caída","Igual")))))</f>
        <v>-</v>
      </c>
      <c r="K142" s="21" t="str">
        <f>IF($B142="","",IF($B142&gt;=Inputs!$B$5,"Verde",IF($B142&gt;=Inputs!$B$5*Inputs!$B$8,"Amarillo","Rojo")))</f>
        <v/>
      </c>
      <c r="L142" s="17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9"/>
      <c r="J143" s="20" t="str">
        <f>IF($A143="","-",IF($A143&lt;2,"-",IF(SUMIFS(PC_Semanal!$B$6:$B$205,PC_Semanal!$I$6:$I$205,$I143,PC_Semanal!$A$6:$A$205,$A143-1)=0,"-",IF($B143&gt;SUMIFS(PC_Semanal!$B$6:$B$205,PC_Semanal!$I$6:$I$205,$I143,PC_Semanal!$A$6:$A$205,$A143-1),"Mejora",IF($B143&lt;SUMIFS(PC_Semanal!$B$6:$B$205,PC_Semanal!$I$6:$I$205,$I143,PC_Semanal!$A$6:$A$205,$A143-1),"Caída","Igual")))))</f>
        <v>-</v>
      </c>
      <c r="K143" s="11" t="str">
        <f>IF($B143="","",IF($B143&gt;=Inputs!$B$5,"Verde",IF($B143&gt;=Inputs!$B$5*Inputs!$B$8,"Amarillo","Rojo")))</f>
        <v/>
      </c>
      <c r="L143" s="16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9"/>
      <c r="J144" s="20" t="str">
        <f>IF($A144="","-",IF($A144&lt;2,"-",IF(SUMIFS(PC_Semanal!$B$6:$B$205,PC_Semanal!$I$6:$I$205,$I144,PC_Semanal!$A$6:$A$205,$A144-1)=0,"-",IF($B144&gt;SUMIFS(PC_Semanal!$B$6:$B$205,PC_Semanal!$I$6:$I$205,$I144,PC_Semanal!$A$6:$A$205,$A144-1),"Mejora",IF($B144&lt;SUMIFS(PC_Semanal!$B$6:$B$205,PC_Semanal!$I$6:$I$205,$I144,PC_Semanal!$A$6:$A$205,$A144-1),"Caída","Igual")))))</f>
        <v>-</v>
      </c>
      <c r="K144" s="21" t="str">
        <f>IF($B144="","",IF($B144&gt;=Inputs!$B$5,"Verde",IF($B144&gt;=Inputs!$B$5*Inputs!$B$8,"Amarillo","Rojo")))</f>
        <v/>
      </c>
      <c r="L144" s="17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9"/>
      <c r="J145" s="20" t="str">
        <f>IF($A145="","-",IF($A145&lt;2,"-",IF(SUMIFS(PC_Semanal!$B$6:$B$205,PC_Semanal!$I$6:$I$205,$I145,PC_Semanal!$A$6:$A$205,$A145-1)=0,"-",IF($B145&gt;SUMIFS(PC_Semanal!$B$6:$B$205,PC_Semanal!$I$6:$I$205,$I145,PC_Semanal!$A$6:$A$205,$A145-1),"Mejora",IF($B145&lt;SUMIFS(PC_Semanal!$B$6:$B$205,PC_Semanal!$I$6:$I$205,$I145,PC_Semanal!$A$6:$A$205,$A145-1),"Caída","Igual")))))</f>
        <v>-</v>
      </c>
      <c r="K145" s="11" t="str">
        <f>IF($B145="","",IF($B145&gt;=Inputs!$B$5,"Verde",IF($B145&gt;=Inputs!$B$5*Inputs!$B$8,"Amarillo","Rojo")))</f>
        <v/>
      </c>
      <c r="L145" s="16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9"/>
      <c r="J146" s="20" t="str">
        <f>IF($A146="","-",IF($A146&lt;2,"-",IF(SUMIFS(PC_Semanal!$B$6:$B$205,PC_Semanal!$I$6:$I$205,$I146,PC_Semanal!$A$6:$A$205,$A146-1)=0,"-",IF($B146&gt;SUMIFS(PC_Semanal!$B$6:$B$205,PC_Semanal!$I$6:$I$205,$I146,PC_Semanal!$A$6:$A$205,$A146-1),"Mejora",IF($B146&lt;SUMIFS(PC_Semanal!$B$6:$B$205,PC_Semanal!$I$6:$I$205,$I146,PC_Semanal!$A$6:$A$205,$A146-1),"Caída","Igual")))))</f>
        <v>-</v>
      </c>
      <c r="K146" s="21" t="str">
        <f>IF($B146="","",IF($B146&gt;=Inputs!$B$5,"Verde",IF($B146&gt;=Inputs!$B$5*Inputs!$B$8,"Amarillo","Rojo")))</f>
        <v/>
      </c>
      <c r="L146" s="17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9"/>
      <c r="J147" s="20" t="str">
        <f>IF($A147="","-",IF($A147&lt;2,"-",IF(SUMIFS(PC_Semanal!$B$6:$B$205,PC_Semanal!$I$6:$I$205,$I147,PC_Semanal!$A$6:$A$205,$A147-1)=0,"-",IF($B147&gt;SUMIFS(PC_Semanal!$B$6:$B$205,PC_Semanal!$I$6:$I$205,$I147,PC_Semanal!$A$6:$A$205,$A147-1),"Mejora",IF($B147&lt;SUMIFS(PC_Semanal!$B$6:$B$205,PC_Semanal!$I$6:$I$205,$I147,PC_Semanal!$A$6:$A$205,$A147-1),"Caída","Igual")))))</f>
        <v>-</v>
      </c>
      <c r="K147" s="11" t="str">
        <f>IF($B147="","",IF($B147&gt;=Inputs!$B$5,"Verde",IF($B147&gt;=Inputs!$B$5*Inputs!$B$8,"Amarillo","Rojo")))</f>
        <v/>
      </c>
      <c r="L147" s="16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9"/>
      <c r="J148" s="20" t="str">
        <f>IF($A148="","-",IF($A148&lt;2,"-",IF(SUMIFS(PC_Semanal!$B$6:$B$205,PC_Semanal!$I$6:$I$205,$I148,PC_Semanal!$A$6:$A$205,$A148-1)=0,"-",IF($B148&gt;SUMIFS(PC_Semanal!$B$6:$B$205,PC_Semanal!$I$6:$I$205,$I148,PC_Semanal!$A$6:$A$205,$A148-1),"Mejora",IF($B148&lt;SUMIFS(PC_Semanal!$B$6:$B$205,PC_Semanal!$I$6:$I$205,$I148,PC_Semanal!$A$6:$A$205,$A148-1),"Caída","Igual")))))</f>
        <v>-</v>
      </c>
      <c r="K148" s="21" t="str">
        <f>IF($B148="","",IF($B148&gt;=Inputs!$B$5,"Verde",IF($B148&gt;=Inputs!$B$5*Inputs!$B$8,"Amarillo","Rojo")))</f>
        <v/>
      </c>
      <c r="L148" s="17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9"/>
      <c r="J149" s="20" t="str">
        <f>IF($A149="","-",IF($A149&lt;2,"-",IF(SUMIFS(PC_Semanal!$B$6:$B$205,PC_Semanal!$I$6:$I$205,$I149,PC_Semanal!$A$6:$A$205,$A149-1)=0,"-",IF($B149&gt;SUMIFS(PC_Semanal!$B$6:$B$205,PC_Semanal!$I$6:$I$205,$I149,PC_Semanal!$A$6:$A$205,$A149-1),"Mejora",IF($B149&lt;SUMIFS(PC_Semanal!$B$6:$B$205,PC_Semanal!$I$6:$I$205,$I149,PC_Semanal!$A$6:$A$205,$A149-1),"Caída","Igual")))))</f>
        <v>-</v>
      </c>
      <c r="K149" s="11" t="str">
        <f>IF($B149="","",IF($B149&gt;=Inputs!$B$5,"Verde",IF($B149&gt;=Inputs!$B$5*Inputs!$B$8,"Amarillo","Rojo")))</f>
        <v/>
      </c>
      <c r="L149" s="16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9"/>
      <c r="J150" s="20" t="str">
        <f>IF($A150="","-",IF($A150&lt;2,"-",IF(SUMIFS(PC_Semanal!$B$6:$B$205,PC_Semanal!$I$6:$I$205,$I150,PC_Semanal!$A$6:$A$205,$A150-1)=0,"-",IF($B150&gt;SUMIFS(PC_Semanal!$B$6:$B$205,PC_Semanal!$I$6:$I$205,$I150,PC_Semanal!$A$6:$A$205,$A150-1),"Mejora",IF($B150&lt;SUMIFS(PC_Semanal!$B$6:$B$205,PC_Semanal!$I$6:$I$205,$I150,PC_Semanal!$A$6:$A$205,$A150-1),"Caída","Igual")))))</f>
        <v>-</v>
      </c>
      <c r="K150" s="21" t="str">
        <f>IF($B150="","",IF($B150&gt;=Inputs!$B$5,"Verde",IF($B150&gt;=Inputs!$B$5*Inputs!$B$8,"Amarillo","Rojo")))</f>
        <v/>
      </c>
      <c r="L150" s="17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9"/>
      <c r="J151" s="20" t="str">
        <f>IF($A151="","-",IF($A151&lt;2,"-",IF(SUMIFS(PC_Semanal!$B$6:$B$205,PC_Semanal!$I$6:$I$205,$I151,PC_Semanal!$A$6:$A$205,$A151-1)=0,"-",IF($B151&gt;SUMIFS(PC_Semanal!$B$6:$B$205,PC_Semanal!$I$6:$I$205,$I151,PC_Semanal!$A$6:$A$205,$A151-1),"Mejora",IF($B151&lt;SUMIFS(PC_Semanal!$B$6:$B$205,PC_Semanal!$I$6:$I$205,$I151,PC_Semanal!$A$6:$A$205,$A151-1),"Caída","Igual")))))</f>
        <v>-</v>
      </c>
      <c r="K151" s="11" t="str">
        <f>IF($B151="","",IF($B151&gt;=Inputs!$B$5,"Verde",IF($B151&gt;=Inputs!$B$5*Inputs!$B$8,"Amarillo","Rojo")))</f>
        <v/>
      </c>
      <c r="L151" s="16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9"/>
      <c r="J152" s="20" t="str">
        <f>IF($A152="","-",IF($A152&lt;2,"-",IF(SUMIFS(PC_Semanal!$B$6:$B$205,PC_Semanal!$I$6:$I$205,$I152,PC_Semanal!$A$6:$A$205,$A152-1)=0,"-",IF($B152&gt;SUMIFS(PC_Semanal!$B$6:$B$205,PC_Semanal!$I$6:$I$205,$I152,PC_Semanal!$A$6:$A$205,$A152-1),"Mejora",IF($B152&lt;SUMIFS(PC_Semanal!$B$6:$B$205,PC_Semanal!$I$6:$I$205,$I152,PC_Semanal!$A$6:$A$205,$A152-1),"Caída","Igual")))))</f>
        <v>-</v>
      </c>
      <c r="K152" s="21" t="str">
        <f>IF($B152="","",IF($B152&gt;=Inputs!$B$5,"Verde",IF($B152&gt;=Inputs!$B$5*Inputs!$B$8,"Amarillo","Rojo")))</f>
        <v/>
      </c>
      <c r="L152" s="17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9"/>
      <c r="J153" s="20" t="str">
        <f>IF($A153="","-",IF($A153&lt;2,"-",IF(SUMIFS(PC_Semanal!$B$6:$B$205,PC_Semanal!$I$6:$I$205,$I153,PC_Semanal!$A$6:$A$205,$A153-1)=0,"-",IF($B153&gt;SUMIFS(PC_Semanal!$B$6:$B$205,PC_Semanal!$I$6:$I$205,$I153,PC_Semanal!$A$6:$A$205,$A153-1),"Mejora",IF($B153&lt;SUMIFS(PC_Semanal!$B$6:$B$205,PC_Semanal!$I$6:$I$205,$I153,PC_Semanal!$A$6:$A$205,$A153-1),"Caída","Igual")))))</f>
        <v>-</v>
      </c>
      <c r="K153" s="11" t="str">
        <f>IF($B153="","",IF($B153&gt;=Inputs!$B$5,"Verde",IF($B153&gt;=Inputs!$B$5*Inputs!$B$8,"Amarillo","Rojo")))</f>
        <v/>
      </c>
      <c r="L153" s="16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9"/>
      <c r="J154" s="20" t="str">
        <f>IF($A154="","-",IF($A154&lt;2,"-",IF(SUMIFS(PC_Semanal!$B$6:$B$205,PC_Semanal!$I$6:$I$205,$I154,PC_Semanal!$A$6:$A$205,$A154-1)=0,"-",IF($B154&gt;SUMIFS(PC_Semanal!$B$6:$B$205,PC_Semanal!$I$6:$I$205,$I154,PC_Semanal!$A$6:$A$205,$A154-1),"Mejora",IF($B154&lt;SUMIFS(PC_Semanal!$B$6:$B$205,PC_Semanal!$I$6:$I$205,$I154,PC_Semanal!$A$6:$A$205,$A154-1),"Caída","Igual")))))</f>
        <v>-</v>
      </c>
      <c r="K154" s="21" t="str">
        <f>IF($B154="","",IF($B154&gt;=Inputs!$B$5,"Verde",IF($B154&gt;=Inputs!$B$5*Inputs!$B$8,"Amarillo","Rojo")))</f>
        <v/>
      </c>
      <c r="L154" s="17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9"/>
      <c r="J155" s="20" t="str">
        <f>IF($A155="","-",IF($A155&lt;2,"-",IF(SUMIFS(PC_Semanal!$B$6:$B$205,PC_Semanal!$I$6:$I$205,$I155,PC_Semanal!$A$6:$A$205,$A155-1)=0,"-",IF($B155&gt;SUMIFS(PC_Semanal!$B$6:$B$205,PC_Semanal!$I$6:$I$205,$I155,PC_Semanal!$A$6:$A$205,$A155-1),"Mejora",IF($B155&lt;SUMIFS(PC_Semanal!$B$6:$B$205,PC_Semanal!$I$6:$I$205,$I155,PC_Semanal!$A$6:$A$205,$A155-1),"Caída","Igual")))))</f>
        <v>-</v>
      </c>
      <c r="K155" s="11" t="str">
        <f>IF($B155="","",IF($B155&gt;=Inputs!$B$5,"Verde",IF($B155&gt;=Inputs!$B$5*Inputs!$B$8,"Amarillo","Rojo")))</f>
        <v/>
      </c>
      <c r="L155" s="16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9"/>
      <c r="J156" s="20" t="str">
        <f>IF($A156="","-",IF($A156&lt;2,"-",IF(SUMIFS(PC_Semanal!$B$6:$B$205,PC_Semanal!$I$6:$I$205,$I156,PC_Semanal!$A$6:$A$205,$A156-1)=0,"-",IF($B156&gt;SUMIFS(PC_Semanal!$B$6:$B$205,PC_Semanal!$I$6:$I$205,$I156,PC_Semanal!$A$6:$A$205,$A156-1),"Mejora",IF($B156&lt;SUMIFS(PC_Semanal!$B$6:$B$205,PC_Semanal!$I$6:$I$205,$I156,PC_Semanal!$A$6:$A$205,$A156-1),"Caída","Igual")))))</f>
        <v>-</v>
      </c>
      <c r="K156" s="20" t="str">
        <f>IF($B156="","",IF($B156&gt;=Inputs!$B$5,"Verde",IF($B156&gt;=Inputs!$B$5*Inputs!$B$8,"Amarillo","Rojo")))</f>
        <v/>
      </c>
      <c r="L156" s="4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9"/>
      <c r="J157" s="20" t="str">
        <f>IF($A157="","-",IF($A157&lt;2,"-",IF(SUMIFS(PC_Semanal!$B$6:$B$205,PC_Semanal!$I$6:$I$205,$I157,PC_Semanal!$A$6:$A$205,$A157-1)=0,"-",IF($B157&gt;SUMIFS(PC_Semanal!$B$6:$B$205,PC_Semanal!$I$6:$I$205,$I157,PC_Semanal!$A$6:$A$205,$A157-1),"Mejora",IF($B157&lt;SUMIFS(PC_Semanal!$B$6:$B$205,PC_Semanal!$I$6:$I$205,$I157,PC_Semanal!$A$6:$A$205,$A157-1),"Caída","Igual")))))</f>
        <v>-</v>
      </c>
      <c r="K157" s="20" t="str">
        <f>IF($B157="","",IF($B157&gt;=Inputs!$B$5,"Verde",IF($B157&gt;=Inputs!$B$5*Inputs!$B$8,"Amarillo","Rojo")))</f>
        <v/>
      </c>
      <c r="L157" s="4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9"/>
      <c r="J158" s="20" t="str">
        <f>IF($A158="","-",IF($A158&lt;2,"-",IF(SUMIFS(PC_Semanal!$B$6:$B$205,PC_Semanal!$I$6:$I$205,$I158,PC_Semanal!$A$6:$A$205,$A158-1)=0,"-",IF($B158&gt;SUMIFS(PC_Semanal!$B$6:$B$205,PC_Semanal!$I$6:$I$205,$I158,PC_Semanal!$A$6:$A$205,$A158-1),"Mejora",IF($B158&lt;SUMIFS(PC_Semanal!$B$6:$B$205,PC_Semanal!$I$6:$I$205,$I158,PC_Semanal!$A$6:$A$205,$A158-1),"Caída","Igual")))))</f>
        <v>-</v>
      </c>
      <c r="K158" s="20" t="str">
        <f>IF($B158="","",IF($B158&gt;=Inputs!$B$5,"Verde",IF($B158&gt;=Inputs!$B$5*Inputs!$B$8,"Amarillo","Rojo")))</f>
        <v/>
      </c>
      <c r="L158" s="4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9"/>
      <c r="J159" s="20" t="str">
        <f>IF($A159="","-",IF($A159&lt;2,"-",IF(SUMIFS(PC_Semanal!$B$6:$B$205,PC_Semanal!$I$6:$I$205,$I159,PC_Semanal!$A$6:$A$205,$A159-1)=0,"-",IF($B159&gt;SUMIFS(PC_Semanal!$B$6:$B$205,PC_Semanal!$I$6:$I$205,$I159,PC_Semanal!$A$6:$A$205,$A159-1),"Mejora",IF($B159&lt;SUMIFS(PC_Semanal!$B$6:$B$205,PC_Semanal!$I$6:$I$205,$I159,PC_Semanal!$A$6:$A$205,$A159-1),"Caída","Igual")))))</f>
        <v>-</v>
      </c>
      <c r="K159" s="20" t="str">
        <f>IF($B159="","",IF($B159&gt;=Inputs!$B$5,"Verde",IF($B159&gt;=Inputs!$B$5*Inputs!$B$8,"Amarillo","Rojo")))</f>
        <v/>
      </c>
      <c r="L159" s="4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9"/>
      <c r="J160" s="20" t="str">
        <f>IF($A160="","-",IF($A160&lt;2,"-",IF(SUMIFS(PC_Semanal!$B$6:$B$205,PC_Semanal!$I$6:$I$205,$I160,PC_Semanal!$A$6:$A$205,$A160-1)=0,"-",IF($B160&gt;SUMIFS(PC_Semanal!$B$6:$B$205,PC_Semanal!$I$6:$I$205,$I160,PC_Semanal!$A$6:$A$205,$A160-1),"Mejora",IF($B160&lt;SUMIFS(PC_Semanal!$B$6:$B$205,PC_Semanal!$I$6:$I$205,$I160,PC_Semanal!$A$6:$A$205,$A160-1),"Caída","Igual")))))</f>
        <v>-</v>
      </c>
      <c r="K160" s="20" t="str">
        <f>IF($B160="","",IF($B160&gt;=Inputs!$B$5,"Verde",IF($B160&gt;=Inputs!$B$5*Inputs!$B$8,"Amarillo","Rojo")))</f>
        <v/>
      </c>
      <c r="L160" s="4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9"/>
      <c r="J161" s="20" t="str">
        <f>IF($A161="","-",IF($A161&lt;2,"-",IF(SUMIFS(PC_Semanal!$B$6:$B$205,PC_Semanal!$I$6:$I$205,$I161,PC_Semanal!$A$6:$A$205,$A161-1)=0,"-",IF($B161&gt;SUMIFS(PC_Semanal!$B$6:$B$205,PC_Semanal!$I$6:$I$205,$I161,PC_Semanal!$A$6:$A$205,$A161-1),"Mejora",IF($B161&lt;SUMIFS(PC_Semanal!$B$6:$B$205,PC_Semanal!$I$6:$I$205,$I161,PC_Semanal!$A$6:$A$205,$A161-1),"Caída","Igual")))))</f>
        <v>-</v>
      </c>
      <c r="K161" s="20" t="str">
        <f>IF($B161="","",IF($B161&gt;=Inputs!$B$5,"Verde",IF($B161&gt;=Inputs!$B$5*Inputs!$B$8,"Amarillo","Rojo")))</f>
        <v/>
      </c>
      <c r="L161" s="4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9"/>
      <c r="J162" s="20" t="str">
        <f>IF($A162="","-",IF($A162&lt;2,"-",IF(SUMIFS(PC_Semanal!$B$6:$B$205,PC_Semanal!$I$6:$I$205,$I162,PC_Semanal!$A$6:$A$205,$A162-1)=0,"-",IF($B162&gt;SUMIFS(PC_Semanal!$B$6:$B$205,PC_Semanal!$I$6:$I$205,$I162,PC_Semanal!$A$6:$A$205,$A162-1),"Mejora",IF($B162&lt;SUMIFS(PC_Semanal!$B$6:$B$205,PC_Semanal!$I$6:$I$205,$I162,PC_Semanal!$A$6:$A$205,$A162-1),"Caída","Igual")))))</f>
        <v>-</v>
      </c>
      <c r="K162" s="20" t="str">
        <f>IF($B162="","",IF($B162&gt;=Inputs!$B$5,"Verde",IF($B162&gt;=Inputs!$B$5*Inputs!$B$8,"Amarillo","Rojo")))</f>
        <v/>
      </c>
      <c r="L162" s="4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9"/>
      <c r="J163" s="20" t="str">
        <f>IF($A163="","-",IF($A163&lt;2,"-",IF(SUMIFS(PC_Semanal!$B$6:$B$205,PC_Semanal!$I$6:$I$205,$I163,PC_Semanal!$A$6:$A$205,$A163-1)=0,"-",IF($B163&gt;SUMIFS(PC_Semanal!$B$6:$B$205,PC_Semanal!$I$6:$I$205,$I163,PC_Semanal!$A$6:$A$205,$A163-1),"Mejora",IF($B163&lt;SUMIFS(PC_Semanal!$B$6:$B$205,PC_Semanal!$I$6:$I$205,$I163,PC_Semanal!$A$6:$A$205,$A163-1),"Caída","Igual")))))</f>
        <v>-</v>
      </c>
      <c r="K163" s="20" t="str">
        <f>IF($B163="","",IF($B163&gt;=Inputs!$B$5,"Verde",IF($B163&gt;=Inputs!$B$5*Inputs!$B$8,"Amarillo","Rojo")))</f>
        <v/>
      </c>
      <c r="L163" s="4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9"/>
      <c r="J164" s="20" t="str">
        <f>IF($A164="","-",IF($A164&lt;2,"-",IF(SUMIFS(PC_Semanal!$B$6:$B$205,PC_Semanal!$I$6:$I$205,$I164,PC_Semanal!$A$6:$A$205,$A164-1)=0,"-",IF($B164&gt;SUMIFS(PC_Semanal!$B$6:$B$205,PC_Semanal!$I$6:$I$205,$I164,PC_Semanal!$A$6:$A$205,$A164-1),"Mejora",IF($B164&lt;SUMIFS(PC_Semanal!$B$6:$B$205,PC_Semanal!$I$6:$I$205,$I164,PC_Semanal!$A$6:$A$205,$A164-1),"Caída","Igual")))))</f>
        <v>-</v>
      </c>
      <c r="K164" s="20" t="str">
        <f>IF($B164="","",IF($B164&gt;=Inputs!$B$5,"Verde",IF($B164&gt;=Inputs!$B$5*Inputs!$B$8,"Amarillo","Rojo")))</f>
        <v/>
      </c>
      <c r="L164" s="4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9"/>
      <c r="J165" s="20" t="str">
        <f>IF($A165="","-",IF($A165&lt;2,"-",IF(SUMIFS(PC_Semanal!$B$6:$B$205,PC_Semanal!$I$6:$I$205,$I165,PC_Semanal!$A$6:$A$205,$A165-1)=0,"-",IF($B165&gt;SUMIFS(PC_Semanal!$B$6:$B$205,PC_Semanal!$I$6:$I$205,$I165,PC_Semanal!$A$6:$A$205,$A165-1),"Mejora",IF($B165&lt;SUMIFS(PC_Semanal!$B$6:$B$205,PC_Semanal!$I$6:$I$205,$I165,PC_Semanal!$A$6:$A$205,$A165-1),"Caída","Igual")))))</f>
        <v>-</v>
      </c>
      <c r="K165" s="20" t="str">
        <f>IF($B165="","",IF($B165&gt;=Inputs!$B$5,"Verde",IF($B165&gt;=Inputs!$B$5*Inputs!$B$8,"Amarillo","Rojo")))</f>
        <v/>
      </c>
      <c r="L165" s="4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9"/>
      <c r="J166" s="20" t="str">
        <f>IF($A166="","-",IF($A166&lt;2,"-",IF(SUMIFS(PC_Semanal!$B$6:$B$205,PC_Semanal!$I$6:$I$205,$I166,PC_Semanal!$A$6:$A$205,$A166-1)=0,"-",IF($B166&gt;SUMIFS(PC_Semanal!$B$6:$B$205,PC_Semanal!$I$6:$I$205,$I166,PC_Semanal!$A$6:$A$205,$A166-1),"Mejora",IF($B166&lt;SUMIFS(PC_Semanal!$B$6:$B$205,PC_Semanal!$I$6:$I$205,$I166,PC_Semanal!$A$6:$A$205,$A166-1),"Caída","Igual")))))</f>
        <v>-</v>
      </c>
      <c r="K166" s="20" t="str">
        <f>IF($B166="","",IF($B166&gt;=Inputs!$B$5,"Verde",IF($B166&gt;=Inputs!$B$5*Inputs!$B$8,"Amarillo","Rojo")))</f>
        <v/>
      </c>
      <c r="L166" s="4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9"/>
      <c r="J167" s="20" t="str">
        <f>IF($A167="","-",IF($A167&lt;2,"-",IF(SUMIFS(PC_Semanal!$B$6:$B$205,PC_Semanal!$I$6:$I$205,$I167,PC_Semanal!$A$6:$A$205,$A167-1)=0,"-",IF($B167&gt;SUMIFS(PC_Semanal!$B$6:$B$205,PC_Semanal!$I$6:$I$205,$I167,PC_Semanal!$A$6:$A$205,$A167-1),"Mejora",IF($B167&lt;SUMIFS(PC_Semanal!$B$6:$B$205,PC_Semanal!$I$6:$I$205,$I167,PC_Semanal!$A$6:$A$205,$A167-1),"Caída","Igual")))))</f>
        <v>-</v>
      </c>
      <c r="K167" s="20" t="str">
        <f>IF($B167="","",IF($B167&gt;=Inputs!$B$5,"Verde",IF($B167&gt;=Inputs!$B$5*Inputs!$B$8,"Amarillo","Rojo")))</f>
        <v/>
      </c>
      <c r="L167" s="4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9"/>
      <c r="J168" s="20" t="str">
        <f>IF($A168="","-",IF($A168&lt;2,"-",IF(SUMIFS(PC_Semanal!$B$6:$B$205,PC_Semanal!$I$6:$I$205,$I168,PC_Semanal!$A$6:$A$205,$A168-1)=0,"-",IF($B168&gt;SUMIFS(PC_Semanal!$B$6:$B$205,PC_Semanal!$I$6:$I$205,$I168,PC_Semanal!$A$6:$A$205,$A168-1),"Mejora",IF($B168&lt;SUMIFS(PC_Semanal!$B$6:$B$205,PC_Semanal!$I$6:$I$205,$I168,PC_Semanal!$A$6:$A$205,$A168-1),"Caída","Igual")))))</f>
        <v>-</v>
      </c>
      <c r="K168" s="20" t="str">
        <f>IF($B168="","",IF($B168&gt;=Inputs!$B$5,"Verde",IF($B168&gt;=Inputs!$B$5*Inputs!$B$8,"Amarillo","Rojo")))</f>
        <v/>
      </c>
      <c r="L168" s="4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9"/>
      <c r="J169" s="20" t="str">
        <f>IF($A169="","-",IF($A169&lt;2,"-",IF(SUMIFS(PC_Semanal!$B$6:$B$205,PC_Semanal!$I$6:$I$205,$I169,PC_Semanal!$A$6:$A$205,$A169-1)=0,"-",IF($B169&gt;SUMIFS(PC_Semanal!$B$6:$B$205,PC_Semanal!$I$6:$I$205,$I169,PC_Semanal!$A$6:$A$205,$A169-1),"Mejora",IF($B169&lt;SUMIFS(PC_Semanal!$B$6:$B$205,PC_Semanal!$I$6:$I$205,$I169,PC_Semanal!$A$6:$A$205,$A169-1),"Caída","Igual")))))</f>
        <v>-</v>
      </c>
      <c r="K169" s="20" t="str">
        <f>IF($B169="","",IF($B169&gt;=Inputs!$B$5,"Verde",IF($B169&gt;=Inputs!$B$5*Inputs!$B$8,"Amarillo","Rojo")))</f>
        <v/>
      </c>
      <c r="L169" s="4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9"/>
      <c r="J170" s="20" t="str">
        <f>IF($A170="","-",IF($A170&lt;2,"-",IF(SUMIFS(PC_Semanal!$B$6:$B$205,PC_Semanal!$I$6:$I$205,$I170,PC_Semanal!$A$6:$A$205,$A170-1)=0,"-",IF($B170&gt;SUMIFS(PC_Semanal!$B$6:$B$205,PC_Semanal!$I$6:$I$205,$I170,PC_Semanal!$A$6:$A$205,$A170-1),"Mejora",IF($B170&lt;SUMIFS(PC_Semanal!$B$6:$B$205,PC_Semanal!$I$6:$I$205,$I170,PC_Semanal!$A$6:$A$205,$A170-1),"Caída","Igual")))))</f>
        <v>-</v>
      </c>
      <c r="K170" s="20" t="str">
        <f>IF($B170="","",IF($B170&gt;=Inputs!$B$5,"Verde",IF($B170&gt;=Inputs!$B$5*Inputs!$B$8,"Amarillo","Rojo")))</f>
        <v/>
      </c>
      <c r="L170" s="4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9"/>
      <c r="J171" s="20" t="str">
        <f>IF($A171="","-",IF($A171&lt;2,"-",IF(SUMIFS(PC_Semanal!$B$6:$B$205,PC_Semanal!$I$6:$I$205,$I171,PC_Semanal!$A$6:$A$205,$A171-1)=0,"-",IF($B171&gt;SUMIFS(PC_Semanal!$B$6:$B$205,PC_Semanal!$I$6:$I$205,$I171,PC_Semanal!$A$6:$A$205,$A171-1),"Mejora",IF($B171&lt;SUMIFS(PC_Semanal!$B$6:$B$205,PC_Semanal!$I$6:$I$205,$I171,PC_Semanal!$A$6:$A$205,$A171-1),"Caída","Igual")))))</f>
        <v>-</v>
      </c>
      <c r="K171" s="20" t="str">
        <f>IF($B171="","",IF($B171&gt;=Inputs!$B$5,"Verde",IF($B171&gt;=Inputs!$B$5*Inputs!$B$8,"Amarillo","Rojo")))</f>
        <v/>
      </c>
      <c r="L171" s="4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9"/>
      <c r="J172" s="20" t="str">
        <f>IF($A172="","-",IF($A172&lt;2,"-",IF(SUMIFS(PC_Semanal!$B$6:$B$205,PC_Semanal!$I$6:$I$205,$I172,PC_Semanal!$A$6:$A$205,$A172-1)=0,"-",IF($B172&gt;SUMIFS(PC_Semanal!$B$6:$B$205,PC_Semanal!$I$6:$I$205,$I172,PC_Semanal!$A$6:$A$205,$A172-1),"Mejora",IF($B172&lt;SUMIFS(PC_Semanal!$B$6:$B$205,PC_Semanal!$I$6:$I$205,$I172,PC_Semanal!$A$6:$A$205,$A172-1),"Caída","Igual")))))</f>
        <v>-</v>
      </c>
      <c r="K172" s="20" t="str">
        <f>IF($B172="","",IF($B172&gt;=Inputs!$B$5,"Verde",IF($B172&gt;=Inputs!$B$5*Inputs!$B$8,"Amarillo","Rojo")))</f>
        <v/>
      </c>
      <c r="L172" s="4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9"/>
      <c r="J173" s="20" t="str">
        <f>IF($A173="","-",IF($A173&lt;2,"-",IF(SUMIFS(PC_Semanal!$B$6:$B$205,PC_Semanal!$I$6:$I$205,$I173,PC_Semanal!$A$6:$A$205,$A173-1)=0,"-",IF($B173&gt;SUMIFS(PC_Semanal!$B$6:$B$205,PC_Semanal!$I$6:$I$205,$I173,PC_Semanal!$A$6:$A$205,$A173-1),"Mejora",IF($B173&lt;SUMIFS(PC_Semanal!$B$6:$B$205,PC_Semanal!$I$6:$I$205,$I173,PC_Semanal!$A$6:$A$205,$A173-1),"Caída","Igual")))))</f>
        <v>-</v>
      </c>
      <c r="K173" s="20" t="str">
        <f>IF($B173="","",IF($B173&gt;=Inputs!$B$5,"Verde",IF($B173&gt;=Inputs!$B$5*Inputs!$B$8,"Amarillo","Rojo")))</f>
        <v/>
      </c>
      <c r="L173" s="4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9"/>
      <c r="J174" s="20" t="str">
        <f>IF($A174="","-",IF($A174&lt;2,"-",IF(SUMIFS(PC_Semanal!$B$6:$B$205,PC_Semanal!$I$6:$I$205,$I174,PC_Semanal!$A$6:$A$205,$A174-1)=0,"-",IF($B174&gt;SUMIFS(PC_Semanal!$B$6:$B$205,PC_Semanal!$I$6:$I$205,$I174,PC_Semanal!$A$6:$A$205,$A174-1),"Mejora",IF($B174&lt;SUMIFS(PC_Semanal!$B$6:$B$205,PC_Semanal!$I$6:$I$205,$I174,PC_Semanal!$A$6:$A$205,$A174-1),"Caída","Igual")))))</f>
        <v>-</v>
      </c>
      <c r="K174" s="20" t="str">
        <f>IF($B174="","",IF($B174&gt;=Inputs!$B$5,"Verde",IF($B174&gt;=Inputs!$B$5*Inputs!$B$8,"Amarillo","Rojo")))</f>
        <v/>
      </c>
      <c r="L174" s="4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9"/>
      <c r="J175" s="20" t="str">
        <f>IF($A175="","-",IF($A175&lt;2,"-",IF(SUMIFS(PC_Semanal!$B$6:$B$205,PC_Semanal!$I$6:$I$205,$I175,PC_Semanal!$A$6:$A$205,$A175-1)=0,"-",IF($B175&gt;SUMIFS(PC_Semanal!$B$6:$B$205,PC_Semanal!$I$6:$I$205,$I175,PC_Semanal!$A$6:$A$205,$A175-1),"Mejora",IF($B175&lt;SUMIFS(PC_Semanal!$B$6:$B$205,PC_Semanal!$I$6:$I$205,$I175,PC_Semanal!$A$6:$A$205,$A175-1),"Caída","Igual")))))</f>
        <v>-</v>
      </c>
      <c r="K175" s="20" t="str">
        <f>IF($B175="","",IF($B175&gt;=Inputs!$B$5,"Verde",IF($B175&gt;=Inputs!$B$5*Inputs!$B$8,"Amarillo","Rojo")))</f>
        <v/>
      </c>
      <c r="L175" s="4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9"/>
      <c r="J176" s="20" t="str">
        <f>IF($A176="","-",IF($A176&lt;2,"-",IF(SUMIFS(PC_Semanal!$B$6:$B$205,PC_Semanal!$I$6:$I$205,$I176,PC_Semanal!$A$6:$A$205,$A176-1)=0,"-",IF($B176&gt;SUMIFS(PC_Semanal!$B$6:$B$205,PC_Semanal!$I$6:$I$205,$I176,PC_Semanal!$A$6:$A$205,$A176-1),"Mejora",IF($B176&lt;SUMIFS(PC_Semanal!$B$6:$B$205,PC_Semanal!$I$6:$I$205,$I176,PC_Semanal!$A$6:$A$205,$A176-1),"Caída","Igual")))))</f>
        <v>-</v>
      </c>
      <c r="K176" s="20" t="str">
        <f>IF($B176="","",IF($B176&gt;=Inputs!$B$5,"Verde",IF($B176&gt;=Inputs!$B$5*Inputs!$B$8,"Amarillo","Rojo")))</f>
        <v/>
      </c>
      <c r="L176" s="4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9"/>
      <c r="J177" s="20" t="str">
        <f>IF($A177="","-",IF($A177&lt;2,"-",IF(SUMIFS(PC_Semanal!$B$6:$B$205,PC_Semanal!$I$6:$I$205,$I177,PC_Semanal!$A$6:$A$205,$A177-1)=0,"-",IF($B177&gt;SUMIFS(PC_Semanal!$B$6:$B$205,PC_Semanal!$I$6:$I$205,$I177,PC_Semanal!$A$6:$A$205,$A177-1),"Mejora",IF($B177&lt;SUMIFS(PC_Semanal!$B$6:$B$205,PC_Semanal!$I$6:$I$205,$I177,PC_Semanal!$A$6:$A$205,$A177-1),"Caída","Igual")))))</f>
        <v>-</v>
      </c>
      <c r="K177" s="20" t="str">
        <f>IF($B177="","",IF($B177&gt;=Inputs!$B$5,"Verde",IF($B177&gt;=Inputs!$B$5*Inputs!$B$8,"Amarillo","Rojo")))</f>
        <v/>
      </c>
      <c r="L177" s="4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9"/>
      <c r="J178" s="20" t="str">
        <f>IF($A178="","-",IF($A178&lt;2,"-",IF(SUMIFS(PC_Semanal!$B$6:$B$205,PC_Semanal!$I$6:$I$205,$I178,PC_Semanal!$A$6:$A$205,$A178-1)=0,"-",IF($B178&gt;SUMIFS(PC_Semanal!$B$6:$B$205,PC_Semanal!$I$6:$I$205,$I178,PC_Semanal!$A$6:$A$205,$A178-1),"Mejora",IF($B178&lt;SUMIFS(PC_Semanal!$B$6:$B$205,PC_Semanal!$I$6:$I$205,$I178,PC_Semanal!$A$6:$A$205,$A178-1),"Caída","Igual")))))</f>
        <v>-</v>
      </c>
      <c r="K178" s="20" t="str">
        <f>IF($B178="","",IF($B178&gt;=Inputs!$B$5,"Verde",IF($B178&gt;=Inputs!$B$5*Inputs!$B$8,"Amarillo","Rojo")))</f>
        <v/>
      </c>
      <c r="L178" s="4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9"/>
      <c r="J179" s="20" t="str">
        <f>IF($A179="","-",IF($A179&lt;2,"-",IF(SUMIFS(PC_Semanal!$B$6:$B$205,PC_Semanal!$I$6:$I$205,$I179,PC_Semanal!$A$6:$A$205,$A179-1)=0,"-",IF($B179&gt;SUMIFS(PC_Semanal!$B$6:$B$205,PC_Semanal!$I$6:$I$205,$I179,PC_Semanal!$A$6:$A$205,$A179-1),"Mejora",IF($B179&lt;SUMIFS(PC_Semanal!$B$6:$B$205,PC_Semanal!$I$6:$I$205,$I179,PC_Semanal!$A$6:$A$205,$A179-1),"Caída","Igual")))))</f>
        <v>-</v>
      </c>
      <c r="K179" s="20" t="str">
        <f>IF($B179="","",IF($B179&gt;=Inputs!$B$5,"Verde",IF($B179&gt;=Inputs!$B$5*Inputs!$B$8,"Amarillo","Rojo")))</f>
        <v/>
      </c>
      <c r="L179" s="4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9"/>
      <c r="J180" s="20" t="str">
        <f>IF($A180="","-",IF($A180&lt;2,"-",IF(SUMIFS(PC_Semanal!$B$6:$B$205,PC_Semanal!$I$6:$I$205,$I180,PC_Semanal!$A$6:$A$205,$A180-1)=0,"-",IF($B180&gt;SUMIFS(PC_Semanal!$B$6:$B$205,PC_Semanal!$I$6:$I$205,$I180,PC_Semanal!$A$6:$A$205,$A180-1),"Mejora",IF($B180&lt;SUMIFS(PC_Semanal!$B$6:$B$205,PC_Semanal!$I$6:$I$205,$I180,PC_Semanal!$A$6:$A$205,$A180-1),"Caída","Igual")))))</f>
        <v>-</v>
      </c>
      <c r="K180" s="20" t="str">
        <f>IF($B180="","",IF($B180&gt;=Inputs!$B$5,"Verde",IF($B180&gt;=Inputs!$B$5*Inputs!$B$8,"Amarillo","Rojo")))</f>
        <v/>
      </c>
      <c r="L180" s="4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9"/>
      <c r="J181" s="20" t="str">
        <f>IF($A181="","-",IF($A181&lt;2,"-",IF(SUMIFS(PC_Semanal!$B$6:$B$205,PC_Semanal!$I$6:$I$205,$I181,PC_Semanal!$A$6:$A$205,$A181-1)=0,"-",IF($B181&gt;SUMIFS(PC_Semanal!$B$6:$B$205,PC_Semanal!$I$6:$I$205,$I181,PC_Semanal!$A$6:$A$205,$A181-1),"Mejora",IF($B181&lt;SUMIFS(PC_Semanal!$B$6:$B$205,PC_Semanal!$I$6:$I$205,$I181,PC_Semanal!$A$6:$A$205,$A181-1),"Caída","Igual")))))</f>
        <v>-</v>
      </c>
      <c r="K181" s="20" t="str">
        <f>IF($B181="","",IF($B181&gt;=Inputs!$B$5,"Verde",IF($B181&gt;=Inputs!$B$5*Inputs!$B$8,"Amarillo","Rojo")))</f>
        <v/>
      </c>
      <c r="L181" s="4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9"/>
      <c r="J182" s="20" t="str">
        <f>IF($A182="","-",IF($A182&lt;2,"-",IF(SUMIFS(PC_Semanal!$B$6:$B$205,PC_Semanal!$I$6:$I$205,$I182,PC_Semanal!$A$6:$A$205,$A182-1)=0,"-",IF($B182&gt;SUMIFS(PC_Semanal!$B$6:$B$205,PC_Semanal!$I$6:$I$205,$I182,PC_Semanal!$A$6:$A$205,$A182-1),"Mejora",IF($B182&lt;SUMIFS(PC_Semanal!$B$6:$B$205,PC_Semanal!$I$6:$I$205,$I182,PC_Semanal!$A$6:$A$205,$A182-1),"Caída","Igual")))))</f>
        <v>-</v>
      </c>
      <c r="K182" s="20" t="str">
        <f>IF($B182="","",IF($B182&gt;=Inputs!$B$5,"Verde",IF($B182&gt;=Inputs!$B$5*Inputs!$B$8,"Amarillo","Rojo")))</f>
        <v/>
      </c>
      <c r="L182" s="4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9"/>
      <c r="J183" s="20" t="str">
        <f>IF($A183="","-",IF($A183&lt;2,"-",IF(SUMIFS(PC_Semanal!$B$6:$B$205,PC_Semanal!$I$6:$I$205,$I183,PC_Semanal!$A$6:$A$205,$A183-1)=0,"-",IF($B183&gt;SUMIFS(PC_Semanal!$B$6:$B$205,PC_Semanal!$I$6:$I$205,$I183,PC_Semanal!$A$6:$A$205,$A183-1),"Mejora",IF($B183&lt;SUMIFS(PC_Semanal!$B$6:$B$205,PC_Semanal!$I$6:$I$205,$I183,PC_Semanal!$A$6:$A$205,$A183-1),"Caída","Igual")))))</f>
        <v>-</v>
      </c>
      <c r="K183" s="20" t="str">
        <f>IF($B183="","",IF($B183&gt;=Inputs!$B$5,"Verde",IF($B183&gt;=Inputs!$B$5*Inputs!$B$8,"Amarillo","Rojo")))</f>
        <v/>
      </c>
      <c r="L183" s="4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9"/>
      <c r="J184" s="20" t="str">
        <f>IF($A184="","-",IF($A184&lt;2,"-",IF(SUMIFS(PC_Semanal!$B$6:$B$205,PC_Semanal!$I$6:$I$205,$I184,PC_Semanal!$A$6:$A$205,$A184-1)=0,"-",IF($B184&gt;SUMIFS(PC_Semanal!$B$6:$B$205,PC_Semanal!$I$6:$I$205,$I184,PC_Semanal!$A$6:$A$205,$A184-1),"Mejora",IF($B184&lt;SUMIFS(PC_Semanal!$B$6:$B$205,PC_Semanal!$I$6:$I$205,$I184,PC_Semanal!$A$6:$A$205,$A184-1),"Caída","Igual")))))</f>
        <v>-</v>
      </c>
      <c r="K184" s="20" t="str">
        <f>IF($B184="","",IF($B184&gt;=Inputs!$B$5,"Verde",IF($B184&gt;=Inputs!$B$5*Inputs!$B$8,"Amarillo","Rojo")))</f>
        <v/>
      </c>
      <c r="L184" s="4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9"/>
      <c r="J185" s="20" t="str">
        <f>IF($A185="","-",IF($A185&lt;2,"-",IF(SUMIFS(PC_Semanal!$B$6:$B$205,PC_Semanal!$I$6:$I$205,$I185,PC_Semanal!$A$6:$A$205,$A185-1)=0,"-",IF($B185&gt;SUMIFS(PC_Semanal!$B$6:$B$205,PC_Semanal!$I$6:$I$205,$I185,PC_Semanal!$A$6:$A$205,$A185-1),"Mejora",IF($B185&lt;SUMIFS(PC_Semanal!$B$6:$B$205,PC_Semanal!$I$6:$I$205,$I185,PC_Semanal!$A$6:$A$205,$A185-1),"Caída","Igual")))))</f>
        <v>-</v>
      </c>
      <c r="K185" s="20" t="str">
        <f>IF($B185="","",IF($B185&gt;=Inputs!$B$5,"Verde",IF($B185&gt;=Inputs!$B$5*Inputs!$B$8,"Amarillo","Rojo")))</f>
        <v/>
      </c>
      <c r="L185" s="4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9"/>
      <c r="J186" s="20" t="str">
        <f>IF($A186="","-",IF($A186&lt;2,"-",IF(SUMIFS(PC_Semanal!$B$6:$B$205,PC_Semanal!$I$6:$I$205,$I186,PC_Semanal!$A$6:$A$205,$A186-1)=0,"-",IF($B186&gt;SUMIFS(PC_Semanal!$B$6:$B$205,PC_Semanal!$I$6:$I$205,$I186,PC_Semanal!$A$6:$A$205,$A186-1),"Mejora",IF($B186&lt;SUMIFS(PC_Semanal!$B$6:$B$205,PC_Semanal!$I$6:$I$205,$I186,PC_Semanal!$A$6:$A$205,$A186-1),"Caída","Igual")))))</f>
        <v>-</v>
      </c>
      <c r="K186" s="20" t="str">
        <f>IF($B186="","",IF($B186&gt;=Inputs!$B$5,"Verde",IF($B186&gt;=Inputs!$B$5*Inputs!$B$8,"Amarillo","Rojo")))</f>
        <v/>
      </c>
      <c r="L186" s="4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9"/>
      <c r="J187" s="20" t="str">
        <f>IF($A187="","-",IF($A187&lt;2,"-",IF(SUMIFS(PC_Semanal!$B$6:$B$205,PC_Semanal!$I$6:$I$205,$I187,PC_Semanal!$A$6:$A$205,$A187-1)=0,"-",IF($B187&gt;SUMIFS(PC_Semanal!$B$6:$B$205,PC_Semanal!$I$6:$I$205,$I187,PC_Semanal!$A$6:$A$205,$A187-1),"Mejora",IF($B187&lt;SUMIFS(PC_Semanal!$B$6:$B$205,PC_Semanal!$I$6:$I$205,$I187,PC_Semanal!$A$6:$A$205,$A187-1),"Caída","Igual")))))</f>
        <v>-</v>
      </c>
      <c r="K187" s="20" t="str">
        <f>IF($B187="","",IF($B187&gt;=Inputs!$B$5,"Verde",IF($B187&gt;=Inputs!$B$5*Inputs!$B$8,"Amarillo","Rojo")))</f>
        <v/>
      </c>
      <c r="L187" s="4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9"/>
      <c r="J188" s="20" t="str">
        <f>IF($A188="","-",IF($A188&lt;2,"-",IF(SUMIFS(PC_Semanal!$B$6:$B$205,PC_Semanal!$I$6:$I$205,$I188,PC_Semanal!$A$6:$A$205,$A188-1)=0,"-",IF($B188&gt;SUMIFS(PC_Semanal!$B$6:$B$205,PC_Semanal!$I$6:$I$205,$I188,PC_Semanal!$A$6:$A$205,$A188-1),"Mejora",IF($B188&lt;SUMIFS(PC_Semanal!$B$6:$B$205,PC_Semanal!$I$6:$I$205,$I188,PC_Semanal!$A$6:$A$205,$A188-1),"Caída","Igual")))))</f>
        <v>-</v>
      </c>
      <c r="K188" s="20" t="str">
        <f>IF($B188="","",IF($B188&gt;=Inputs!$B$5,"Verde",IF($B188&gt;=Inputs!$B$5*Inputs!$B$8,"Amarillo","Rojo")))</f>
        <v/>
      </c>
      <c r="L188" s="4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9"/>
      <c r="J189" s="20" t="str">
        <f>IF($A189="","-",IF($A189&lt;2,"-",IF(SUMIFS(PC_Semanal!$B$6:$B$205,PC_Semanal!$I$6:$I$205,$I189,PC_Semanal!$A$6:$A$205,$A189-1)=0,"-",IF($B189&gt;SUMIFS(PC_Semanal!$B$6:$B$205,PC_Semanal!$I$6:$I$205,$I189,PC_Semanal!$A$6:$A$205,$A189-1),"Mejora",IF($B189&lt;SUMIFS(PC_Semanal!$B$6:$B$205,PC_Semanal!$I$6:$I$205,$I189,PC_Semanal!$A$6:$A$205,$A189-1),"Caída","Igual")))))</f>
        <v>-</v>
      </c>
      <c r="K189" s="20" t="str">
        <f>IF($B189="","",IF($B189&gt;=Inputs!$B$5,"Verde",IF($B189&gt;=Inputs!$B$5*Inputs!$B$8,"Amarillo","Rojo")))</f>
        <v/>
      </c>
      <c r="L189" s="4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9"/>
      <c r="J190" s="20" t="str">
        <f>IF($A190="","-",IF($A190&lt;2,"-",IF(SUMIFS(PC_Semanal!$B$6:$B$205,PC_Semanal!$I$6:$I$205,$I190,PC_Semanal!$A$6:$A$205,$A190-1)=0,"-",IF($B190&gt;SUMIFS(PC_Semanal!$B$6:$B$205,PC_Semanal!$I$6:$I$205,$I190,PC_Semanal!$A$6:$A$205,$A190-1),"Mejora",IF($B190&lt;SUMIFS(PC_Semanal!$B$6:$B$205,PC_Semanal!$I$6:$I$205,$I190,PC_Semanal!$A$6:$A$205,$A190-1),"Caída","Igual")))))</f>
        <v>-</v>
      </c>
      <c r="K190" s="20" t="str">
        <f>IF($B190="","",IF($B190&gt;=Inputs!$B$5,"Verde",IF($B190&gt;=Inputs!$B$5*Inputs!$B$8,"Amarillo","Rojo")))</f>
        <v/>
      </c>
      <c r="L190" s="4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9"/>
      <c r="J191" s="20" t="str">
        <f>IF($A191="","-",IF($A191&lt;2,"-",IF(SUMIFS(PC_Semanal!$B$6:$B$205,PC_Semanal!$I$6:$I$205,$I191,PC_Semanal!$A$6:$A$205,$A191-1)=0,"-",IF($B191&gt;SUMIFS(PC_Semanal!$B$6:$B$205,PC_Semanal!$I$6:$I$205,$I191,PC_Semanal!$A$6:$A$205,$A191-1),"Mejora",IF($B191&lt;SUMIFS(PC_Semanal!$B$6:$B$205,PC_Semanal!$I$6:$I$205,$I191,PC_Semanal!$A$6:$A$205,$A191-1),"Caída","Igual")))))</f>
        <v>-</v>
      </c>
      <c r="K191" s="20" t="str">
        <f>IF($B191="","",IF($B191&gt;=Inputs!$B$5,"Verde",IF($B191&gt;=Inputs!$B$5*Inputs!$B$8,"Amarillo","Rojo")))</f>
        <v/>
      </c>
      <c r="L191" s="4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9"/>
      <c r="J192" s="20" t="str">
        <f>IF($A192="","-",IF($A192&lt;2,"-",IF(SUMIFS(PC_Semanal!$B$6:$B$205,PC_Semanal!$I$6:$I$205,$I192,PC_Semanal!$A$6:$A$205,$A192-1)=0,"-",IF($B192&gt;SUMIFS(PC_Semanal!$B$6:$B$205,PC_Semanal!$I$6:$I$205,$I192,PC_Semanal!$A$6:$A$205,$A192-1),"Mejora",IF($B192&lt;SUMIFS(PC_Semanal!$B$6:$B$205,PC_Semanal!$I$6:$I$205,$I192,PC_Semanal!$A$6:$A$205,$A192-1),"Caída","Igual")))))</f>
        <v>-</v>
      </c>
      <c r="K192" s="20" t="str">
        <f>IF($B192="","",IF($B192&gt;=Inputs!$B$5,"Verde",IF($B192&gt;=Inputs!$B$5*Inputs!$B$8,"Amarillo","Rojo")))</f>
        <v/>
      </c>
      <c r="L192" s="4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9"/>
      <c r="J193" s="20" t="str">
        <f>IF($A193="","-",IF($A193&lt;2,"-",IF(SUMIFS(PC_Semanal!$B$6:$B$205,PC_Semanal!$I$6:$I$205,$I193,PC_Semanal!$A$6:$A$205,$A193-1)=0,"-",IF($B193&gt;SUMIFS(PC_Semanal!$B$6:$B$205,PC_Semanal!$I$6:$I$205,$I193,PC_Semanal!$A$6:$A$205,$A193-1),"Mejora",IF($B193&lt;SUMIFS(PC_Semanal!$B$6:$B$205,PC_Semanal!$I$6:$I$205,$I193,PC_Semanal!$A$6:$A$205,$A193-1),"Caída","Igual")))))</f>
        <v>-</v>
      </c>
      <c r="K193" s="20" t="str">
        <f>IF($B193="","",IF($B193&gt;=Inputs!$B$5,"Verde",IF($B193&gt;=Inputs!$B$5*Inputs!$B$8,"Amarillo","Rojo")))</f>
        <v/>
      </c>
      <c r="L193" s="4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9"/>
      <c r="J194" s="20" t="str">
        <f>IF($A194="","-",IF($A194&lt;2,"-",IF(SUMIFS(PC_Semanal!$B$6:$B$205,PC_Semanal!$I$6:$I$205,$I194,PC_Semanal!$A$6:$A$205,$A194-1)=0,"-",IF($B194&gt;SUMIFS(PC_Semanal!$B$6:$B$205,PC_Semanal!$I$6:$I$205,$I194,PC_Semanal!$A$6:$A$205,$A194-1),"Mejora",IF($B194&lt;SUMIFS(PC_Semanal!$B$6:$B$205,PC_Semanal!$I$6:$I$205,$I194,PC_Semanal!$A$6:$A$205,$A194-1),"Caída","Igual")))))</f>
        <v>-</v>
      </c>
      <c r="K194" s="20" t="str">
        <f>IF($B194="","",IF($B194&gt;=Inputs!$B$5,"Verde",IF($B194&gt;=Inputs!$B$5*Inputs!$B$8,"Amarillo","Rojo")))</f>
        <v/>
      </c>
      <c r="L194" s="4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9"/>
      <c r="J195" s="20" t="str">
        <f>IF($A195="","-",IF($A195&lt;2,"-",IF(SUMIFS(PC_Semanal!$B$6:$B$205,PC_Semanal!$I$6:$I$205,$I195,PC_Semanal!$A$6:$A$205,$A195-1)=0,"-",IF($B195&gt;SUMIFS(PC_Semanal!$B$6:$B$205,PC_Semanal!$I$6:$I$205,$I195,PC_Semanal!$A$6:$A$205,$A195-1),"Mejora",IF($B195&lt;SUMIFS(PC_Semanal!$B$6:$B$205,PC_Semanal!$I$6:$I$205,$I195,PC_Semanal!$A$6:$A$205,$A195-1),"Caída","Igual")))))</f>
        <v>-</v>
      </c>
      <c r="K195" s="20" t="str">
        <f>IF($B195="","",IF($B195&gt;=Inputs!$B$5,"Verde",IF($B195&gt;=Inputs!$B$5*Inputs!$B$8,"Amarillo","Rojo")))</f>
        <v/>
      </c>
      <c r="L195" s="4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9"/>
      <c r="J196" s="20" t="str">
        <f>IF($A196="","-",IF($A196&lt;2,"-",IF(SUMIFS(PC_Semanal!$B$6:$B$205,PC_Semanal!$I$6:$I$205,$I196,PC_Semanal!$A$6:$A$205,$A196-1)=0,"-",IF($B196&gt;SUMIFS(PC_Semanal!$B$6:$B$205,PC_Semanal!$I$6:$I$205,$I196,PC_Semanal!$A$6:$A$205,$A196-1),"Mejora",IF($B196&lt;SUMIFS(PC_Semanal!$B$6:$B$205,PC_Semanal!$I$6:$I$205,$I196,PC_Semanal!$A$6:$A$205,$A196-1),"Caída","Igual")))))</f>
        <v>-</v>
      </c>
      <c r="K196" s="20" t="str">
        <f>IF($B196="","",IF($B196&gt;=Inputs!$B$5,"Verde",IF($B196&gt;=Inputs!$B$5*Inputs!$B$8,"Amarillo","Rojo")))</f>
        <v/>
      </c>
      <c r="L196" s="4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9"/>
      <c r="J197" s="20" t="str">
        <f>IF($A197="","-",IF($A197&lt;2,"-",IF(SUMIFS(PC_Semanal!$B$6:$B$205,PC_Semanal!$I$6:$I$205,$I197,PC_Semanal!$A$6:$A$205,$A197-1)=0,"-",IF($B197&gt;SUMIFS(PC_Semanal!$B$6:$B$205,PC_Semanal!$I$6:$I$205,$I197,PC_Semanal!$A$6:$A$205,$A197-1),"Mejora",IF($B197&lt;SUMIFS(PC_Semanal!$B$6:$B$205,PC_Semanal!$I$6:$I$205,$I197,PC_Semanal!$A$6:$A$205,$A197-1),"Caída","Igual")))))</f>
        <v>-</v>
      </c>
      <c r="K197" s="20" t="str">
        <f>IF($B197="","",IF($B197&gt;=Inputs!$B$5,"Verde",IF($B197&gt;=Inputs!$B$5*Inputs!$B$8,"Amarillo","Rojo")))</f>
        <v/>
      </c>
      <c r="L197" s="4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9"/>
      <c r="J198" s="20" t="str">
        <f>IF($A198="","-",IF($A198&lt;2,"-",IF(SUMIFS(PC_Semanal!$B$6:$B$205,PC_Semanal!$I$6:$I$205,$I198,PC_Semanal!$A$6:$A$205,$A198-1)=0,"-",IF($B198&gt;SUMIFS(PC_Semanal!$B$6:$B$205,PC_Semanal!$I$6:$I$205,$I198,PC_Semanal!$A$6:$A$205,$A198-1),"Mejora",IF($B198&lt;SUMIFS(PC_Semanal!$B$6:$B$205,PC_Semanal!$I$6:$I$205,$I198,PC_Semanal!$A$6:$A$205,$A198-1),"Caída","Igual")))))</f>
        <v>-</v>
      </c>
      <c r="K198" s="20" t="str">
        <f>IF($B198="","",IF($B198&gt;=Inputs!$B$5,"Verde",IF($B198&gt;=Inputs!$B$5*Inputs!$B$8,"Amarillo","Rojo")))</f>
        <v/>
      </c>
      <c r="L198" s="4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9"/>
      <c r="J199" s="20" t="str">
        <f>IF($A199="","-",IF($A199&lt;2,"-",IF(SUMIFS(PC_Semanal!$B$6:$B$205,PC_Semanal!$I$6:$I$205,$I199,PC_Semanal!$A$6:$A$205,$A199-1)=0,"-",IF($B199&gt;SUMIFS(PC_Semanal!$B$6:$B$205,PC_Semanal!$I$6:$I$205,$I199,PC_Semanal!$A$6:$A$205,$A199-1),"Mejora",IF($B199&lt;SUMIFS(PC_Semanal!$B$6:$B$205,PC_Semanal!$I$6:$I$205,$I199,PC_Semanal!$A$6:$A$205,$A199-1),"Caída","Igual")))))</f>
        <v>-</v>
      </c>
      <c r="K199" s="20" t="str">
        <f>IF($B199="","",IF($B199&gt;=Inputs!$B$5,"Verde",IF($B199&gt;=Inputs!$B$5*Inputs!$B$8,"Amarillo","Rojo")))</f>
        <v/>
      </c>
      <c r="L199" s="4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9"/>
      <c r="J200" s="20" t="str">
        <f>IF($A200="","-",IF($A200&lt;2,"-",IF(SUMIFS(PC_Semanal!$B$6:$B$205,PC_Semanal!$I$6:$I$205,$I200,PC_Semanal!$A$6:$A$205,$A200-1)=0,"-",IF($B200&gt;SUMIFS(PC_Semanal!$B$6:$B$205,PC_Semanal!$I$6:$I$205,$I200,PC_Semanal!$A$6:$A$205,$A200-1),"Mejora",IF($B200&lt;SUMIFS(PC_Semanal!$B$6:$B$205,PC_Semanal!$I$6:$I$205,$I200,PC_Semanal!$A$6:$A$205,$A200-1),"Caída","Igual")))))</f>
        <v>-</v>
      </c>
      <c r="K200" s="20" t="str">
        <f>IF($B200="","",IF($B200&gt;=Inputs!$B$5,"Verde",IF($B200&gt;=Inputs!$B$5*Inputs!$B$8,"Amarillo","Rojo")))</f>
        <v/>
      </c>
      <c r="L200" s="4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9"/>
      <c r="J201" s="20" t="str">
        <f>IF($A201="","-",IF($A201&lt;2,"-",IF(SUMIFS(PC_Semanal!$B$6:$B$205,PC_Semanal!$I$6:$I$205,$I201,PC_Semanal!$A$6:$A$205,$A201-1)=0,"-",IF($B201&gt;SUMIFS(PC_Semanal!$B$6:$B$205,PC_Semanal!$I$6:$I$205,$I201,PC_Semanal!$A$6:$A$205,$A201-1),"Mejora",IF($B201&lt;SUMIFS(PC_Semanal!$B$6:$B$205,PC_Semanal!$I$6:$I$205,$I201,PC_Semanal!$A$6:$A$205,$A201-1),"Caída","Igual")))))</f>
        <v>-</v>
      </c>
      <c r="K201" s="20" t="str">
        <f>IF($B201="","",IF($B201&gt;=Inputs!$B$5,"Verde",IF($B201&gt;=Inputs!$B$5*Inputs!$B$8,"Amarillo","Rojo")))</f>
        <v/>
      </c>
      <c r="L201" s="4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9"/>
      <c r="J202" s="20" t="str">
        <f>IF($A202="","-",IF($A202&lt;2,"-",IF(SUMIFS(PC_Semanal!$B$6:$B$205,PC_Semanal!$I$6:$I$205,$I202,PC_Semanal!$A$6:$A$205,$A202-1)=0,"-",IF($B202&gt;SUMIFS(PC_Semanal!$B$6:$B$205,PC_Semanal!$I$6:$I$205,$I202,PC_Semanal!$A$6:$A$205,$A202-1),"Mejora",IF($B202&lt;SUMIFS(PC_Semanal!$B$6:$B$205,PC_Semanal!$I$6:$I$205,$I202,PC_Semanal!$A$6:$A$205,$A202-1),"Caída","Igual")))))</f>
        <v>-</v>
      </c>
      <c r="K202" s="20" t="str">
        <f>IF($B202="","",IF($B202&gt;=Inputs!$B$5,"Verde",IF($B202&gt;=Inputs!$B$5*Inputs!$B$8,"Amarillo","Rojo")))</f>
        <v/>
      </c>
      <c r="L202" s="4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9"/>
      <c r="J203" s="20" t="str">
        <f>IF($A203="","-",IF($A203&lt;2,"-",IF(SUMIFS(PC_Semanal!$B$6:$B$205,PC_Semanal!$I$6:$I$205,$I203,PC_Semanal!$A$6:$A$205,$A203-1)=0,"-",IF($B203&gt;SUMIFS(PC_Semanal!$B$6:$B$205,PC_Semanal!$I$6:$I$205,$I203,PC_Semanal!$A$6:$A$205,$A203-1),"Mejora",IF($B203&lt;SUMIFS(PC_Semanal!$B$6:$B$205,PC_Semanal!$I$6:$I$205,$I203,PC_Semanal!$A$6:$A$205,$A203-1),"Caída","Igual")))))</f>
        <v>-</v>
      </c>
      <c r="K203" s="20" t="str">
        <f>IF($B203="","",IF($B203&gt;=Inputs!$B$5,"Verde",IF($B203&gt;=Inputs!$B$5*Inputs!$B$8,"Amarillo","Rojo")))</f>
        <v/>
      </c>
      <c r="L203" s="4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9"/>
      <c r="J204" s="20" t="str">
        <f>IF($A204="","-",IF($A204&lt;2,"-",IF(SUMIFS(PC_Semanal!$B$6:$B$205,PC_Semanal!$I$6:$I$205,$I204,PC_Semanal!$A$6:$A$205,$A204-1)=0,"-",IF($B204&gt;SUMIFS(PC_Semanal!$B$6:$B$205,PC_Semanal!$I$6:$I$205,$I204,PC_Semanal!$A$6:$A$205,$A204-1),"Mejora",IF($B204&lt;SUMIFS(PC_Semanal!$B$6:$B$205,PC_Semanal!$I$6:$I$205,$I204,PC_Semanal!$A$6:$A$205,$A204-1),"Caída","Igual")))))</f>
        <v>-</v>
      </c>
      <c r="K204" s="20" t="str">
        <f>IF($B204="","",IF($B204&gt;=Inputs!$B$5,"Verde",IF($B204&gt;=Inputs!$B$5*Inputs!$B$8,"Amarillo","Rojo")))</f>
        <v/>
      </c>
      <c r="L204" s="4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9"/>
      <c r="J205" s="20" t="str">
        <f>IF($A205="","-",IF($A205&lt;2,"-",IF(SUMIFS(PC_Semanal!$B$6:$B$205,PC_Semanal!$I$6:$I$205,$I205,PC_Semanal!$A$6:$A$205,$A205-1)=0,"-",IF($B205&gt;SUMIFS(PC_Semanal!$B$6:$B$205,PC_Semanal!$I$6:$I$205,$I205,PC_Semanal!$A$6:$A$205,$A205-1),"Mejora",IF($B205&lt;SUMIFS(PC_Semanal!$B$6:$B$205,PC_Semanal!$I$6:$I$205,$I205,PC_Semanal!$A$6:$A$205,$A205-1),"Caída","Igual")))))</f>
        <v>-</v>
      </c>
      <c r="K205" s="20" t="str">
        <f>IF($B205="","",IF($B205&gt;=Inputs!$B$5,"Verde",IF($B205&gt;=Inputs!$B$5*Inputs!$B$8,"Amarillo","Rojo")))</f>
        <v/>
      </c>
      <c r="L205" s="4"/>
    </row>
    <row r="206" ht="15.75" customHeight="1">
      <c r="L206" s="4"/>
    </row>
    <row r="207" ht="15.75" customHeight="1">
      <c r="L207" s="4"/>
    </row>
    <row r="208" ht="15.75" customHeight="1">
      <c r="L208" s="4"/>
    </row>
    <row r="209" ht="15.75" customHeight="1">
      <c r="L209" s="4"/>
    </row>
    <row r="210" ht="15.75" customHeight="1">
      <c r="L210" s="4"/>
    </row>
    <row r="211" ht="15.75" customHeight="1">
      <c r="L211" s="4"/>
    </row>
    <row r="212" ht="15.75" customHeight="1">
      <c r="L212" s="4"/>
    </row>
    <row r="213" ht="15.75" customHeight="1">
      <c r="L213" s="4"/>
    </row>
    <row r="214" ht="15.75" customHeight="1">
      <c r="L214" s="4"/>
    </row>
    <row r="215" ht="15.75" customHeight="1">
      <c r="L215" s="4"/>
    </row>
    <row r="216" ht="15.75" customHeight="1">
      <c r="L216" s="4"/>
    </row>
    <row r="217" ht="15.75" customHeight="1">
      <c r="L217" s="4"/>
    </row>
    <row r="218" ht="15.75" customHeight="1">
      <c r="L218" s="4"/>
    </row>
    <row r="219" ht="15.75" customHeight="1">
      <c r="L219" s="4"/>
    </row>
    <row r="220" ht="15.75" customHeight="1">
      <c r="L220" s="4"/>
    </row>
    <row r="221" ht="15.75" customHeight="1">
      <c r="L221" s="4"/>
    </row>
    <row r="222" ht="15.75" customHeight="1">
      <c r="L222" s="4"/>
    </row>
    <row r="223" ht="15.75" customHeight="1">
      <c r="L223" s="4"/>
    </row>
    <row r="224" ht="15.75" customHeight="1">
      <c r="L224" s="4"/>
    </row>
    <row r="225" ht="15.75" customHeight="1">
      <c r="L225" s="4"/>
    </row>
    <row r="226" ht="15.75" customHeight="1">
      <c r="L226" s="4"/>
    </row>
    <row r="227" ht="15.75" customHeight="1">
      <c r="L227" s="4"/>
    </row>
    <row r="228" ht="15.75" customHeight="1">
      <c r="L228" s="4"/>
    </row>
    <row r="229" ht="15.75" customHeight="1">
      <c r="L229" s="4"/>
    </row>
    <row r="230" ht="15.75" customHeight="1">
      <c r="L230" s="4"/>
    </row>
    <row r="231" ht="15.75" customHeight="1">
      <c r="L231" s="4"/>
    </row>
    <row r="232" ht="15.75" customHeight="1">
      <c r="L232" s="4"/>
    </row>
    <row r="233" ht="15.75" customHeight="1">
      <c r="L233" s="4"/>
    </row>
    <row r="234" ht="15.75" customHeight="1">
      <c r="L234" s="4"/>
    </row>
    <row r="235" ht="15.75" customHeight="1">
      <c r="L235" s="4"/>
    </row>
    <row r="236" ht="15.75" customHeight="1">
      <c r="L236" s="4"/>
    </row>
    <row r="237" ht="15.75" customHeight="1">
      <c r="L237" s="4"/>
    </row>
    <row r="238" ht="15.75" customHeight="1">
      <c r="L238" s="4"/>
    </row>
    <row r="239" ht="15.75" customHeight="1">
      <c r="L239" s="4"/>
    </row>
    <row r="240" ht="15.75" customHeight="1">
      <c r="L240" s="4"/>
    </row>
    <row r="241" ht="15.75" customHeight="1">
      <c r="L241" s="4"/>
    </row>
    <row r="242" ht="15.75" customHeight="1">
      <c r="L242" s="4"/>
    </row>
    <row r="243" ht="15.75" customHeight="1">
      <c r="L243" s="4"/>
    </row>
    <row r="244" ht="15.75" customHeight="1">
      <c r="L244" s="4"/>
    </row>
    <row r="245" ht="15.75" customHeight="1">
      <c r="L245" s="4"/>
    </row>
    <row r="246" ht="15.75" customHeight="1">
      <c r="L246" s="4"/>
    </row>
    <row r="247" ht="15.75" customHeight="1">
      <c r="L247" s="4"/>
    </row>
    <row r="248" ht="15.75" customHeight="1">
      <c r="L248" s="4"/>
    </row>
    <row r="249" ht="15.75" customHeight="1">
      <c r="L249" s="4"/>
    </row>
    <row r="250" ht="15.75" customHeight="1">
      <c r="L250" s="4"/>
    </row>
    <row r="251" ht="15.75" customHeight="1">
      <c r="L251" s="4"/>
    </row>
    <row r="252" ht="15.75" customHeight="1">
      <c r="L252" s="4"/>
    </row>
    <row r="253" ht="15.75" customHeight="1">
      <c r="L253" s="4"/>
    </row>
    <row r="254" ht="15.75" customHeight="1">
      <c r="L254" s="4"/>
    </row>
    <row r="255" ht="15.75" customHeight="1">
      <c r="L255" s="4"/>
    </row>
    <row r="256" ht="15.75" customHeight="1">
      <c r="L256" s="4"/>
    </row>
    <row r="257" ht="15.75" customHeight="1">
      <c r="L257" s="4"/>
    </row>
    <row r="258" ht="15.75" customHeight="1">
      <c r="L258" s="4"/>
    </row>
    <row r="259" ht="15.75" customHeight="1">
      <c r="L259" s="4"/>
    </row>
    <row r="260" ht="15.75" customHeight="1">
      <c r="L260" s="4"/>
    </row>
    <row r="261" ht="15.75" customHeight="1">
      <c r="L261" s="4"/>
    </row>
    <row r="262" ht="15.75" customHeight="1">
      <c r="L262" s="4"/>
    </row>
    <row r="263" ht="15.75" customHeight="1">
      <c r="L263" s="4"/>
    </row>
    <row r="264" ht="15.75" customHeight="1">
      <c r="L264" s="4"/>
    </row>
    <row r="265" ht="15.75" customHeight="1">
      <c r="L265" s="4"/>
    </row>
    <row r="266" ht="15.75" customHeight="1">
      <c r="L266" s="4"/>
    </row>
    <row r="267" ht="15.75" customHeight="1">
      <c r="L267" s="4"/>
    </row>
    <row r="268" ht="15.75" customHeight="1">
      <c r="L268" s="4"/>
    </row>
    <row r="269" ht="15.75" customHeight="1">
      <c r="L269" s="4"/>
    </row>
    <row r="270" ht="15.75" customHeight="1">
      <c r="L270" s="4"/>
    </row>
    <row r="271" ht="15.75" customHeight="1">
      <c r="L271" s="4"/>
    </row>
    <row r="272" ht="15.75" customHeight="1">
      <c r="L272" s="4"/>
    </row>
    <row r="273" ht="15.75" customHeight="1">
      <c r="L273" s="4"/>
    </row>
    <row r="274" ht="15.75" customHeight="1">
      <c r="L274" s="4"/>
    </row>
    <row r="275" ht="15.75" customHeight="1">
      <c r="L275" s="4"/>
    </row>
    <row r="276" ht="15.75" customHeight="1">
      <c r="L276" s="4"/>
    </row>
    <row r="277" ht="15.75" customHeight="1">
      <c r="L277" s="4"/>
    </row>
    <row r="278" ht="15.75" customHeight="1">
      <c r="L278" s="4"/>
    </row>
    <row r="279" ht="15.75" customHeight="1">
      <c r="L279" s="4"/>
    </row>
    <row r="280" ht="15.75" customHeight="1">
      <c r="L280" s="4"/>
    </row>
    <row r="281" ht="15.75" customHeight="1">
      <c r="L281" s="4"/>
    </row>
    <row r="282" ht="15.75" customHeight="1">
      <c r="L282" s="4"/>
    </row>
    <row r="283" ht="15.75" customHeight="1">
      <c r="L283" s="4"/>
    </row>
    <row r="284" ht="15.75" customHeight="1">
      <c r="L284" s="4"/>
    </row>
    <row r="285" ht="15.75" customHeight="1">
      <c r="L285" s="4"/>
    </row>
    <row r="286" ht="15.75" customHeight="1">
      <c r="L286" s="4"/>
    </row>
    <row r="287" ht="15.75" customHeight="1">
      <c r="L287" s="4"/>
    </row>
    <row r="288" ht="15.75" customHeight="1">
      <c r="L288" s="4"/>
    </row>
    <row r="289" ht="15.75" customHeight="1">
      <c r="L289" s="4"/>
    </row>
    <row r="290" ht="15.75" customHeight="1">
      <c r="L290" s="4"/>
    </row>
    <row r="291" ht="15.75" customHeight="1">
      <c r="L291" s="4"/>
    </row>
    <row r="292" ht="15.75" customHeight="1">
      <c r="L292" s="4"/>
    </row>
    <row r="293" ht="15.75" customHeight="1">
      <c r="L293" s="4"/>
    </row>
    <row r="294" ht="15.75" customHeight="1">
      <c r="L294" s="4"/>
    </row>
    <row r="295" ht="15.75" customHeight="1">
      <c r="L295" s="4"/>
    </row>
    <row r="296" ht="15.75" customHeight="1">
      <c r="L296" s="4"/>
    </row>
    <row r="297" ht="15.75" customHeight="1">
      <c r="L297" s="4"/>
    </row>
    <row r="298" ht="15.75" customHeight="1">
      <c r="L298" s="4"/>
    </row>
    <row r="299" ht="15.75" customHeight="1">
      <c r="L299" s="4"/>
    </row>
    <row r="300" ht="15.75" customHeight="1">
      <c r="L300" s="4"/>
    </row>
    <row r="301" ht="15.75" customHeight="1">
      <c r="L301" s="4"/>
    </row>
    <row r="302" ht="15.75" customHeight="1">
      <c r="L302" s="4"/>
    </row>
    <row r="303" ht="15.75" customHeight="1">
      <c r="L303" s="4"/>
    </row>
    <row r="304" ht="15.75" customHeight="1">
      <c r="L304" s="4"/>
    </row>
    <row r="305" ht="15.75" customHeight="1">
      <c r="L305" s="4"/>
    </row>
    <row r="306" ht="15.75" customHeight="1">
      <c r="L306" s="4"/>
    </row>
    <row r="307" ht="15.75" customHeight="1">
      <c r="L307" s="4"/>
    </row>
    <row r="308" ht="15.75" customHeight="1">
      <c r="L308" s="4"/>
    </row>
    <row r="309" ht="15.75" customHeight="1">
      <c r="L309" s="4"/>
    </row>
    <row r="310" ht="15.75" customHeight="1">
      <c r="L310" s="4"/>
    </row>
    <row r="311" ht="15.75" customHeight="1">
      <c r="L311" s="4"/>
    </row>
    <row r="312" ht="15.75" customHeight="1">
      <c r="L312" s="4"/>
    </row>
    <row r="313" ht="15.75" customHeight="1">
      <c r="L313" s="4"/>
    </row>
    <row r="314" ht="15.75" customHeight="1">
      <c r="L314" s="4"/>
    </row>
    <row r="315" ht="15.75" customHeight="1">
      <c r="L315" s="4"/>
    </row>
    <row r="316" ht="15.75" customHeight="1">
      <c r="L316" s="4"/>
    </row>
    <row r="317" ht="15.75" customHeight="1">
      <c r="L317" s="4"/>
    </row>
    <row r="318" ht="15.75" customHeight="1">
      <c r="L318" s="4"/>
    </row>
    <row r="319" ht="15.75" customHeight="1">
      <c r="L319" s="4"/>
    </row>
    <row r="320" ht="15.75" customHeight="1">
      <c r="L320" s="4"/>
    </row>
    <row r="321" ht="15.75" customHeight="1">
      <c r="L321" s="4"/>
    </row>
    <row r="322" ht="15.75" customHeight="1">
      <c r="L322" s="4"/>
    </row>
    <row r="323" ht="15.75" customHeight="1">
      <c r="L323" s="4"/>
    </row>
    <row r="324" ht="15.75" customHeight="1">
      <c r="L324" s="4"/>
    </row>
    <row r="325" ht="15.75" customHeight="1">
      <c r="L325" s="4"/>
    </row>
    <row r="326" ht="15.75" customHeight="1">
      <c r="L326" s="4"/>
    </row>
    <row r="327" ht="15.75" customHeight="1">
      <c r="L327" s="4"/>
    </row>
    <row r="328" ht="15.75" customHeight="1">
      <c r="L328" s="4"/>
    </row>
    <row r="329" ht="15.75" customHeight="1">
      <c r="L329" s="4"/>
    </row>
    <row r="330" ht="15.75" customHeight="1">
      <c r="L330" s="4"/>
    </row>
    <row r="331" ht="15.75" customHeight="1">
      <c r="L331" s="4"/>
    </row>
    <row r="332" ht="15.75" customHeight="1">
      <c r="L332" s="4"/>
    </row>
    <row r="333" ht="15.75" customHeight="1">
      <c r="L333" s="4"/>
    </row>
    <row r="334" ht="15.75" customHeight="1">
      <c r="L334" s="4"/>
    </row>
    <row r="335" ht="15.75" customHeight="1">
      <c r="L335" s="4"/>
    </row>
    <row r="336" ht="15.75" customHeight="1">
      <c r="L336" s="4"/>
    </row>
    <row r="337" ht="15.75" customHeight="1">
      <c r="L337" s="4"/>
    </row>
    <row r="338" ht="15.75" customHeight="1">
      <c r="L338" s="4"/>
    </row>
    <row r="339" ht="15.75" customHeight="1">
      <c r="L339" s="4"/>
    </row>
    <row r="340" ht="15.75" customHeight="1">
      <c r="L340" s="4"/>
    </row>
    <row r="341" ht="15.75" customHeight="1">
      <c r="L341" s="4"/>
    </row>
    <row r="342" ht="15.75" customHeight="1">
      <c r="L342" s="4"/>
    </row>
    <row r="343" ht="15.75" customHeight="1">
      <c r="L343" s="4"/>
    </row>
    <row r="344" ht="15.75" customHeight="1">
      <c r="L344" s="4"/>
    </row>
    <row r="345" ht="15.75" customHeight="1">
      <c r="L345" s="4"/>
    </row>
    <row r="346" ht="15.75" customHeight="1">
      <c r="L346" s="4"/>
    </row>
    <row r="347" ht="15.75" customHeight="1">
      <c r="L347" s="4"/>
    </row>
    <row r="348" ht="15.75" customHeight="1">
      <c r="L348" s="4"/>
    </row>
    <row r="349" ht="15.75" customHeight="1">
      <c r="L349" s="4"/>
    </row>
    <row r="350" ht="15.75" customHeight="1">
      <c r="L350" s="4"/>
    </row>
    <row r="351" ht="15.75" customHeight="1">
      <c r="L351" s="4"/>
    </row>
    <row r="352" ht="15.75" customHeight="1">
      <c r="L352" s="4"/>
    </row>
    <row r="353" ht="15.75" customHeight="1">
      <c r="L353" s="4"/>
    </row>
    <row r="354" ht="15.75" customHeight="1">
      <c r="L354" s="4"/>
    </row>
    <row r="355" ht="15.75" customHeight="1">
      <c r="L355" s="4"/>
    </row>
    <row r="356" ht="15.75" customHeight="1">
      <c r="L356" s="4"/>
    </row>
    <row r="357" ht="15.75" customHeight="1">
      <c r="L357" s="4"/>
    </row>
    <row r="358" ht="15.75" customHeight="1">
      <c r="L358" s="4"/>
    </row>
    <row r="359" ht="15.75" customHeight="1">
      <c r="L359" s="4"/>
    </row>
    <row r="360" ht="15.75" customHeight="1">
      <c r="L360" s="4"/>
    </row>
    <row r="361" ht="15.75" customHeight="1">
      <c r="L361" s="4"/>
    </row>
    <row r="362" ht="15.75" customHeight="1">
      <c r="L362" s="4"/>
    </row>
    <row r="363" ht="15.75" customHeight="1">
      <c r="L363" s="4"/>
    </row>
    <row r="364" ht="15.75" customHeight="1">
      <c r="L364" s="4"/>
    </row>
    <row r="365" ht="15.75" customHeight="1">
      <c r="L365" s="4"/>
    </row>
    <row r="366" ht="15.75" customHeight="1">
      <c r="L366" s="4"/>
    </row>
    <row r="367" ht="15.75" customHeight="1">
      <c r="L367" s="4"/>
    </row>
    <row r="368" ht="15.75" customHeight="1">
      <c r="L368" s="4"/>
    </row>
    <row r="369" ht="15.75" customHeight="1">
      <c r="L369" s="4"/>
    </row>
    <row r="370" ht="15.75" customHeight="1">
      <c r="L370" s="4"/>
    </row>
    <row r="371" ht="15.75" customHeight="1">
      <c r="L371" s="4"/>
    </row>
    <row r="372" ht="15.75" customHeight="1">
      <c r="L372" s="4"/>
    </row>
    <row r="373" ht="15.75" customHeight="1">
      <c r="L373" s="4"/>
    </row>
    <row r="374" ht="15.75" customHeight="1">
      <c r="L374" s="4"/>
    </row>
    <row r="375" ht="15.75" customHeight="1">
      <c r="L375" s="4"/>
    </row>
    <row r="376" ht="15.75" customHeight="1">
      <c r="L376" s="4"/>
    </row>
    <row r="377" ht="15.75" customHeight="1">
      <c r="L377" s="4"/>
    </row>
    <row r="378" ht="15.75" customHeight="1">
      <c r="L378" s="4"/>
    </row>
    <row r="379" ht="15.75" customHeight="1">
      <c r="L379" s="4"/>
    </row>
    <row r="380" ht="15.75" customHeight="1">
      <c r="L380" s="4"/>
    </row>
    <row r="381" ht="15.75" customHeight="1">
      <c r="L381" s="4"/>
    </row>
    <row r="382" ht="15.75" customHeight="1">
      <c r="L382" s="4"/>
    </row>
    <row r="383" ht="15.75" customHeight="1">
      <c r="L383" s="4"/>
    </row>
    <row r="384" ht="15.75" customHeight="1">
      <c r="L384" s="4"/>
    </row>
    <row r="385" ht="15.75" customHeight="1">
      <c r="L385" s="4"/>
    </row>
    <row r="386" ht="15.75" customHeight="1">
      <c r="L386" s="4"/>
    </row>
    <row r="387" ht="15.75" customHeight="1">
      <c r="L387" s="4"/>
    </row>
    <row r="388" ht="15.75" customHeight="1">
      <c r="L388" s="4"/>
    </row>
    <row r="389" ht="15.75" customHeight="1">
      <c r="L389" s="4"/>
    </row>
    <row r="390" ht="15.75" customHeight="1">
      <c r="L390" s="4"/>
    </row>
    <row r="391" ht="15.75" customHeight="1">
      <c r="L391" s="4"/>
    </row>
    <row r="392" ht="15.75" customHeight="1">
      <c r="L392" s="4"/>
    </row>
    <row r="393" ht="15.75" customHeight="1">
      <c r="L393" s="4"/>
    </row>
    <row r="394" ht="15.75" customHeight="1">
      <c r="L394" s="4"/>
    </row>
    <row r="395" ht="15.75" customHeight="1">
      <c r="L395" s="4"/>
    </row>
    <row r="396" ht="15.75" customHeight="1">
      <c r="L396" s="4"/>
    </row>
    <row r="397" ht="15.75" customHeight="1">
      <c r="L397" s="4"/>
    </row>
    <row r="398" ht="15.75" customHeight="1">
      <c r="L398" s="4"/>
    </row>
    <row r="399" ht="15.75" customHeight="1">
      <c r="L399" s="4"/>
    </row>
    <row r="400" ht="15.75" customHeight="1">
      <c r="L400" s="4"/>
    </row>
    <row r="401" ht="15.75" customHeight="1">
      <c r="L401" s="4"/>
    </row>
    <row r="402" ht="15.75" customHeight="1">
      <c r="L402" s="4"/>
    </row>
    <row r="403" ht="15.75" customHeight="1">
      <c r="L403" s="4"/>
    </row>
    <row r="404" ht="15.75" customHeight="1">
      <c r="L404" s="4"/>
    </row>
    <row r="405" ht="15.75" customHeight="1">
      <c r="L405" s="4"/>
    </row>
    <row r="406" ht="15.75" customHeight="1">
      <c r="L406" s="4"/>
    </row>
    <row r="407" ht="15.75" customHeight="1">
      <c r="L407" s="4"/>
    </row>
    <row r="408" ht="15.75" customHeight="1">
      <c r="L408" s="4"/>
    </row>
    <row r="409" ht="15.75" customHeight="1">
      <c r="L409" s="4"/>
    </row>
    <row r="410" ht="15.75" customHeight="1">
      <c r="L410" s="4"/>
    </row>
    <row r="411" ht="15.75" customHeight="1">
      <c r="L411" s="4"/>
    </row>
    <row r="412" ht="15.75" customHeight="1">
      <c r="L412" s="4"/>
    </row>
    <row r="413" ht="15.75" customHeight="1">
      <c r="L413" s="4"/>
    </row>
    <row r="414" ht="15.75" customHeight="1">
      <c r="L414" s="4"/>
    </row>
    <row r="415" ht="15.75" customHeight="1">
      <c r="L415" s="4"/>
    </row>
    <row r="416" ht="15.75" customHeight="1">
      <c r="L416" s="4"/>
    </row>
    <row r="417" ht="15.75" customHeight="1">
      <c r="L417" s="4"/>
    </row>
    <row r="418" ht="15.75" customHeight="1">
      <c r="L418" s="4"/>
    </row>
    <row r="419" ht="15.75" customHeight="1">
      <c r="L419" s="4"/>
    </row>
    <row r="420" ht="15.75" customHeight="1">
      <c r="L420" s="4"/>
    </row>
    <row r="421" ht="15.75" customHeight="1">
      <c r="L421" s="4"/>
    </row>
    <row r="422" ht="15.75" customHeight="1">
      <c r="L422" s="4"/>
    </row>
    <row r="423" ht="15.75" customHeight="1">
      <c r="L423" s="4"/>
    </row>
    <row r="424" ht="15.75" customHeight="1">
      <c r="L424" s="4"/>
    </row>
    <row r="425" ht="15.75" customHeight="1">
      <c r="L425" s="4"/>
    </row>
    <row r="426" ht="15.75" customHeight="1">
      <c r="L426" s="4"/>
    </row>
    <row r="427" ht="15.75" customHeight="1">
      <c r="L427" s="4"/>
    </row>
    <row r="428" ht="15.75" customHeight="1">
      <c r="L428" s="4"/>
    </row>
    <row r="429" ht="15.75" customHeight="1">
      <c r="L429" s="4"/>
    </row>
    <row r="430" ht="15.75" customHeight="1">
      <c r="L430" s="4"/>
    </row>
    <row r="431" ht="15.75" customHeight="1">
      <c r="L431" s="4"/>
    </row>
    <row r="432" ht="15.75" customHeight="1">
      <c r="L432" s="4"/>
    </row>
    <row r="433" ht="15.75" customHeight="1">
      <c r="L433" s="4"/>
    </row>
    <row r="434" ht="15.75" customHeight="1">
      <c r="L434" s="4"/>
    </row>
    <row r="435" ht="15.75" customHeight="1">
      <c r="L435" s="4"/>
    </row>
    <row r="436" ht="15.75" customHeight="1">
      <c r="L436" s="4"/>
    </row>
    <row r="437" ht="15.75" customHeight="1">
      <c r="L437" s="4"/>
    </row>
    <row r="438" ht="15.75" customHeight="1">
      <c r="L438" s="4"/>
    </row>
    <row r="439" ht="15.75" customHeight="1">
      <c r="L439" s="4"/>
    </row>
    <row r="440" ht="15.75" customHeight="1">
      <c r="L440" s="4"/>
    </row>
    <row r="441" ht="15.75" customHeight="1">
      <c r="L441" s="4"/>
    </row>
    <row r="442" ht="15.75" customHeight="1">
      <c r="L442" s="4"/>
    </row>
    <row r="443" ht="15.75" customHeight="1">
      <c r="L443" s="4"/>
    </row>
    <row r="444" ht="15.75" customHeight="1">
      <c r="L444" s="4"/>
    </row>
    <row r="445" ht="15.75" customHeight="1">
      <c r="L445" s="4"/>
    </row>
    <row r="446" ht="15.75" customHeight="1">
      <c r="L446" s="4"/>
    </row>
    <row r="447" ht="15.75" customHeight="1">
      <c r="L447" s="4"/>
    </row>
    <row r="448" ht="15.75" customHeight="1">
      <c r="L448" s="4"/>
    </row>
    <row r="449" ht="15.75" customHeight="1">
      <c r="L449" s="4"/>
    </row>
    <row r="450" ht="15.75" customHeight="1">
      <c r="L450" s="4"/>
    </row>
    <row r="451" ht="15.75" customHeight="1">
      <c r="L451" s="4"/>
    </row>
    <row r="452" ht="15.75" customHeight="1">
      <c r="L452" s="4"/>
    </row>
    <row r="453" ht="15.75" customHeight="1">
      <c r="L453" s="4"/>
    </row>
    <row r="454" ht="15.75" customHeight="1">
      <c r="L454" s="4"/>
    </row>
    <row r="455" ht="15.75" customHeight="1">
      <c r="L455" s="4"/>
    </row>
    <row r="456" ht="15.75" customHeight="1">
      <c r="L456" s="4"/>
    </row>
    <row r="457" ht="15.75" customHeight="1">
      <c r="L457" s="4"/>
    </row>
    <row r="458" ht="15.75" customHeight="1">
      <c r="L458" s="4"/>
    </row>
    <row r="459" ht="15.75" customHeight="1">
      <c r="L459" s="4"/>
    </row>
    <row r="460" ht="15.75" customHeight="1">
      <c r="L460" s="4"/>
    </row>
    <row r="461" ht="15.75" customHeight="1">
      <c r="L461" s="4"/>
    </row>
    <row r="462" ht="15.75" customHeight="1">
      <c r="L462" s="4"/>
    </row>
    <row r="463" ht="15.75" customHeight="1">
      <c r="L463" s="4"/>
    </row>
    <row r="464" ht="15.75" customHeight="1">
      <c r="L464" s="4"/>
    </row>
    <row r="465" ht="15.75" customHeight="1">
      <c r="L465" s="4"/>
    </row>
    <row r="466" ht="15.75" customHeight="1">
      <c r="L466" s="4"/>
    </row>
    <row r="467" ht="15.75" customHeight="1">
      <c r="L467" s="4"/>
    </row>
    <row r="468" ht="15.75" customHeight="1">
      <c r="L468" s="4"/>
    </row>
    <row r="469" ht="15.75" customHeight="1">
      <c r="L469" s="4"/>
    </row>
    <row r="470" ht="15.75" customHeight="1">
      <c r="L470" s="4"/>
    </row>
    <row r="471" ht="15.75" customHeight="1">
      <c r="L471" s="4"/>
    </row>
    <row r="472" ht="15.75" customHeight="1">
      <c r="L472" s="4"/>
    </row>
    <row r="473" ht="15.75" customHeight="1">
      <c r="L473" s="4"/>
    </row>
    <row r="474" ht="15.75" customHeight="1">
      <c r="L474" s="4"/>
    </row>
    <row r="475" ht="15.75" customHeight="1">
      <c r="L475" s="4"/>
    </row>
    <row r="476" ht="15.75" customHeight="1">
      <c r="L476" s="4"/>
    </row>
    <row r="477" ht="15.75" customHeight="1">
      <c r="L477" s="4"/>
    </row>
    <row r="478" ht="15.75" customHeight="1">
      <c r="L478" s="4"/>
    </row>
    <row r="479" ht="15.75" customHeight="1">
      <c r="L479" s="4"/>
    </row>
    <row r="480" ht="15.75" customHeight="1">
      <c r="L480" s="4"/>
    </row>
    <row r="481" ht="15.75" customHeight="1">
      <c r="L481" s="4"/>
    </row>
    <row r="482" ht="15.75" customHeight="1">
      <c r="L482" s="4"/>
    </row>
    <row r="483" ht="15.75" customHeight="1">
      <c r="L483" s="4"/>
    </row>
    <row r="484" ht="15.75" customHeight="1">
      <c r="L484" s="4"/>
    </row>
    <row r="485" ht="15.75" customHeight="1">
      <c r="L485" s="4"/>
    </row>
    <row r="486" ht="15.75" customHeight="1">
      <c r="L486" s="4"/>
    </row>
    <row r="487" ht="15.75" customHeight="1">
      <c r="L487" s="4"/>
    </row>
    <row r="488" ht="15.75" customHeight="1">
      <c r="L488" s="4"/>
    </row>
    <row r="489" ht="15.75" customHeight="1">
      <c r="L489" s="4"/>
    </row>
    <row r="490" ht="15.75" customHeight="1">
      <c r="L490" s="4"/>
    </row>
    <row r="491" ht="15.75" customHeight="1">
      <c r="L491" s="4"/>
    </row>
    <row r="492" ht="15.75" customHeight="1">
      <c r="L492" s="4"/>
    </row>
    <row r="493" ht="15.75" customHeight="1">
      <c r="L493" s="4"/>
    </row>
    <row r="494" ht="15.75" customHeight="1">
      <c r="L494" s="4"/>
    </row>
    <row r="495" ht="15.75" customHeight="1">
      <c r="L495" s="4"/>
    </row>
    <row r="496" ht="15.75" customHeight="1">
      <c r="L496" s="4"/>
    </row>
    <row r="497" ht="15.75" customHeight="1">
      <c r="L497" s="4"/>
    </row>
    <row r="498" ht="15.75" customHeight="1">
      <c r="L498" s="4"/>
    </row>
    <row r="499" ht="15.75" customHeight="1">
      <c r="L499" s="4"/>
    </row>
    <row r="500" ht="15.75" customHeight="1">
      <c r="L500" s="4"/>
    </row>
    <row r="501" ht="15.75" customHeight="1">
      <c r="L501" s="4"/>
    </row>
    <row r="502" ht="15.75" customHeight="1">
      <c r="L502" s="4"/>
    </row>
    <row r="503" ht="15.75" customHeight="1">
      <c r="L503" s="4"/>
    </row>
    <row r="504" ht="15.75" customHeight="1">
      <c r="L504" s="4"/>
    </row>
    <row r="505" ht="15.75" customHeight="1">
      <c r="L505" s="4"/>
    </row>
    <row r="506" ht="15.75" customHeight="1">
      <c r="L506" s="4"/>
    </row>
    <row r="507" ht="15.75" customHeight="1">
      <c r="L507" s="4"/>
    </row>
    <row r="508" ht="15.75" customHeight="1">
      <c r="L508" s="4"/>
    </row>
    <row r="509" ht="15.75" customHeight="1">
      <c r="L509" s="4"/>
    </row>
    <row r="510" ht="15.75" customHeight="1">
      <c r="L510" s="4"/>
    </row>
    <row r="511" ht="15.75" customHeight="1">
      <c r="L511" s="4"/>
    </row>
    <row r="512" ht="15.75" customHeight="1">
      <c r="L512" s="4"/>
    </row>
    <row r="513" ht="15.75" customHeight="1">
      <c r="L513" s="4"/>
    </row>
    <row r="514" ht="15.75" customHeight="1">
      <c r="L514" s="4"/>
    </row>
    <row r="515" ht="15.75" customHeight="1">
      <c r="L515" s="4"/>
    </row>
    <row r="516" ht="15.75" customHeight="1">
      <c r="L516" s="4"/>
    </row>
    <row r="517" ht="15.75" customHeight="1">
      <c r="L517" s="4"/>
    </row>
    <row r="518" ht="15.75" customHeight="1">
      <c r="L518" s="4"/>
    </row>
    <row r="519" ht="15.75" customHeight="1">
      <c r="L519" s="4"/>
    </row>
    <row r="520" ht="15.75" customHeight="1">
      <c r="L520" s="4"/>
    </row>
    <row r="521" ht="15.75" customHeight="1">
      <c r="L521" s="4"/>
    </row>
    <row r="522" ht="15.75" customHeight="1">
      <c r="L522" s="4"/>
    </row>
    <row r="523" ht="15.75" customHeight="1">
      <c r="L523" s="4"/>
    </row>
    <row r="524" ht="15.75" customHeight="1">
      <c r="L524" s="4"/>
    </row>
    <row r="525" ht="15.75" customHeight="1">
      <c r="L525" s="4"/>
    </row>
    <row r="526" ht="15.75" customHeight="1">
      <c r="L526" s="4"/>
    </row>
    <row r="527" ht="15.75" customHeight="1">
      <c r="L527" s="4"/>
    </row>
    <row r="528" ht="15.75" customHeight="1">
      <c r="L528" s="4"/>
    </row>
    <row r="529" ht="15.75" customHeight="1">
      <c r="L529" s="4"/>
    </row>
    <row r="530" ht="15.75" customHeight="1">
      <c r="L530" s="4"/>
    </row>
    <row r="531" ht="15.75" customHeight="1">
      <c r="L531" s="4"/>
    </row>
    <row r="532" ht="15.75" customHeight="1">
      <c r="L532" s="4"/>
    </row>
    <row r="533" ht="15.75" customHeight="1">
      <c r="L533" s="4"/>
    </row>
    <row r="534" ht="15.75" customHeight="1">
      <c r="L534" s="4"/>
    </row>
    <row r="535" ht="15.75" customHeight="1">
      <c r="L535" s="4"/>
    </row>
    <row r="536" ht="15.75" customHeight="1">
      <c r="L536" s="4"/>
    </row>
    <row r="537" ht="15.75" customHeight="1">
      <c r="L537" s="4"/>
    </row>
    <row r="538" ht="15.75" customHeight="1">
      <c r="L538" s="4"/>
    </row>
    <row r="539" ht="15.75" customHeight="1">
      <c r="L539" s="4"/>
    </row>
    <row r="540" ht="15.75" customHeight="1">
      <c r="L540" s="4"/>
    </row>
    <row r="541" ht="15.75" customHeight="1">
      <c r="L541" s="4"/>
    </row>
    <row r="542" ht="15.75" customHeight="1">
      <c r="L542" s="4"/>
    </row>
    <row r="543" ht="15.75" customHeight="1">
      <c r="L543" s="4"/>
    </row>
    <row r="544" ht="15.75" customHeight="1">
      <c r="L544" s="4"/>
    </row>
    <row r="545" ht="15.75" customHeight="1">
      <c r="L545" s="4"/>
    </row>
    <row r="546" ht="15.75" customHeight="1">
      <c r="L546" s="4"/>
    </row>
    <row r="547" ht="15.75" customHeight="1">
      <c r="L547" s="4"/>
    </row>
    <row r="548" ht="15.75" customHeight="1">
      <c r="L548" s="4"/>
    </row>
    <row r="549" ht="15.75" customHeight="1">
      <c r="L549" s="4"/>
    </row>
    <row r="550" ht="15.75" customHeight="1">
      <c r="L550" s="4"/>
    </row>
    <row r="551" ht="15.75" customHeight="1">
      <c r="L551" s="4"/>
    </row>
    <row r="552" ht="15.75" customHeight="1">
      <c r="L552" s="4"/>
    </row>
    <row r="553" ht="15.75" customHeight="1">
      <c r="L553" s="4"/>
    </row>
    <row r="554" ht="15.75" customHeight="1">
      <c r="L554" s="4"/>
    </row>
    <row r="555" ht="15.75" customHeight="1">
      <c r="L555" s="4"/>
    </row>
    <row r="556" ht="15.75" customHeight="1">
      <c r="L556" s="4"/>
    </row>
    <row r="557" ht="15.75" customHeight="1">
      <c r="L557" s="4"/>
    </row>
    <row r="558" ht="15.75" customHeight="1">
      <c r="L558" s="4"/>
    </row>
    <row r="559" ht="15.75" customHeight="1">
      <c r="L559" s="4"/>
    </row>
    <row r="560" ht="15.75" customHeight="1">
      <c r="L560" s="4"/>
    </row>
    <row r="561" ht="15.75" customHeight="1">
      <c r="L561" s="4"/>
    </row>
    <row r="562" ht="15.75" customHeight="1">
      <c r="L562" s="4"/>
    </row>
    <row r="563" ht="15.75" customHeight="1">
      <c r="L563" s="4"/>
    </row>
    <row r="564" ht="15.75" customHeight="1">
      <c r="L564" s="4"/>
    </row>
    <row r="565" ht="15.75" customHeight="1">
      <c r="L565" s="4"/>
    </row>
    <row r="566" ht="15.75" customHeight="1">
      <c r="L566" s="4"/>
    </row>
    <row r="567" ht="15.75" customHeight="1">
      <c r="L567" s="4"/>
    </row>
    <row r="568" ht="15.75" customHeight="1">
      <c r="L568" s="4"/>
    </row>
    <row r="569" ht="15.75" customHeight="1">
      <c r="L569" s="4"/>
    </row>
    <row r="570" ht="15.75" customHeight="1">
      <c r="L570" s="4"/>
    </row>
    <row r="571" ht="15.75" customHeight="1">
      <c r="L571" s="4"/>
    </row>
    <row r="572" ht="15.75" customHeight="1">
      <c r="L572" s="4"/>
    </row>
    <row r="573" ht="15.75" customHeight="1">
      <c r="L573" s="4"/>
    </row>
    <row r="574" ht="15.75" customHeight="1">
      <c r="L574" s="4"/>
    </row>
    <row r="575" ht="15.75" customHeight="1">
      <c r="L575" s="4"/>
    </row>
    <row r="576" ht="15.75" customHeight="1">
      <c r="L576" s="4"/>
    </row>
    <row r="577" ht="15.75" customHeight="1">
      <c r="L577" s="4"/>
    </row>
    <row r="578" ht="15.75" customHeight="1">
      <c r="L578" s="4"/>
    </row>
    <row r="579" ht="15.75" customHeight="1">
      <c r="L579" s="4"/>
    </row>
    <row r="580" ht="15.75" customHeight="1">
      <c r="L580" s="4"/>
    </row>
    <row r="581" ht="15.75" customHeight="1">
      <c r="L581" s="4"/>
    </row>
    <row r="582" ht="15.75" customHeight="1">
      <c r="L582" s="4"/>
    </row>
    <row r="583" ht="15.75" customHeight="1">
      <c r="L583" s="4"/>
    </row>
    <row r="584" ht="15.75" customHeight="1">
      <c r="L584" s="4"/>
    </row>
    <row r="585" ht="15.75" customHeight="1">
      <c r="L585" s="4"/>
    </row>
    <row r="586" ht="15.75" customHeight="1">
      <c r="L586" s="4"/>
    </row>
    <row r="587" ht="15.75" customHeight="1">
      <c r="L587" s="4"/>
    </row>
    <row r="588" ht="15.75" customHeight="1">
      <c r="L588" s="4"/>
    </row>
    <row r="589" ht="15.75" customHeight="1">
      <c r="L589" s="4"/>
    </row>
    <row r="590" ht="15.75" customHeight="1">
      <c r="L590" s="4"/>
    </row>
    <row r="591" ht="15.75" customHeight="1">
      <c r="L591" s="4"/>
    </row>
    <row r="592" ht="15.75" customHeight="1">
      <c r="L592" s="4"/>
    </row>
    <row r="593" ht="15.75" customHeight="1">
      <c r="L593" s="4"/>
    </row>
    <row r="594" ht="15.75" customHeight="1">
      <c r="L594" s="4"/>
    </row>
    <row r="595" ht="15.75" customHeight="1">
      <c r="L595" s="4"/>
    </row>
    <row r="596" ht="15.75" customHeight="1">
      <c r="L596" s="4"/>
    </row>
    <row r="597" ht="15.75" customHeight="1">
      <c r="L597" s="4"/>
    </row>
    <row r="598" ht="15.75" customHeight="1">
      <c r="L598" s="4"/>
    </row>
    <row r="599" ht="15.75" customHeight="1">
      <c r="L599" s="4"/>
    </row>
    <row r="600" ht="15.75" customHeight="1">
      <c r="L600" s="4"/>
    </row>
    <row r="601" ht="15.75" customHeight="1">
      <c r="L601" s="4"/>
    </row>
    <row r="602" ht="15.75" customHeight="1">
      <c r="L602" s="4"/>
    </row>
    <row r="603" ht="15.75" customHeight="1">
      <c r="L603" s="4"/>
    </row>
    <row r="604" ht="15.75" customHeight="1">
      <c r="L604" s="4"/>
    </row>
    <row r="605" ht="15.75" customHeight="1">
      <c r="L605" s="4"/>
    </row>
    <row r="606" ht="15.75" customHeight="1">
      <c r="L606" s="4"/>
    </row>
    <row r="607" ht="15.75" customHeight="1">
      <c r="L607" s="4"/>
    </row>
    <row r="608" ht="15.75" customHeight="1">
      <c r="L608" s="4"/>
    </row>
    <row r="609" ht="15.75" customHeight="1">
      <c r="L609" s="4"/>
    </row>
    <row r="610" ht="15.75" customHeight="1">
      <c r="L610" s="4"/>
    </row>
    <row r="611" ht="15.75" customHeight="1">
      <c r="L611" s="4"/>
    </row>
    <row r="612" ht="15.75" customHeight="1">
      <c r="L612" s="4"/>
    </row>
    <row r="613" ht="15.75" customHeight="1">
      <c r="L613" s="4"/>
    </row>
    <row r="614" ht="15.75" customHeight="1">
      <c r="L614" s="4"/>
    </row>
    <row r="615" ht="15.75" customHeight="1">
      <c r="L615" s="4"/>
    </row>
    <row r="616" ht="15.75" customHeight="1">
      <c r="L616" s="4"/>
    </row>
    <row r="617" ht="15.75" customHeight="1">
      <c r="L617" s="4"/>
    </row>
    <row r="618" ht="15.75" customHeight="1">
      <c r="L618" s="4"/>
    </row>
    <row r="619" ht="15.75" customHeight="1">
      <c r="L619" s="4"/>
    </row>
    <row r="620" ht="15.75" customHeight="1">
      <c r="L620" s="4"/>
    </row>
    <row r="621" ht="15.75" customHeight="1">
      <c r="L621" s="4"/>
    </row>
    <row r="622" ht="15.75" customHeight="1">
      <c r="L622" s="4"/>
    </row>
    <row r="623" ht="15.75" customHeight="1">
      <c r="L623" s="4"/>
    </row>
    <row r="624" ht="15.75" customHeight="1">
      <c r="L624" s="4"/>
    </row>
    <row r="625" ht="15.75" customHeight="1">
      <c r="L625" s="4"/>
    </row>
    <row r="626" ht="15.75" customHeight="1">
      <c r="L626" s="4"/>
    </row>
    <row r="627" ht="15.75" customHeight="1">
      <c r="L627" s="4"/>
    </row>
    <row r="628" ht="15.75" customHeight="1">
      <c r="L628" s="4"/>
    </row>
    <row r="629" ht="15.75" customHeight="1">
      <c r="L629" s="4"/>
    </row>
    <row r="630" ht="15.75" customHeight="1">
      <c r="L630" s="4"/>
    </row>
    <row r="631" ht="15.75" customHeight="1">
      <c r="L631" s="4"/>
    </row>
    <row r="632" ht="15.75" customHeight="1">
      <c r="L632" s="4"/>
    </row>
    <row r="633" ht="15.75" customHeight="1">
      <c r="L633" s="4"/>
    </row>
    <row r="634" ht="15.75" customHeight="1">
      <c r="L634" s="4"/>
    </row>
    <row r="635" ht="15.75" customHeight="1">
      <c r="L635" s="4"/>
    </row>
    <row r="636" ht="15.75" customHeight="1">
      <c r="L636" s="4"/>
    </row>
    <row r="637" ht="15.75" customHeight="1">
      <c r="L637" s="4"/>
    </row>
    <row r="638" ht="15.75" customHeight="1">
      <c r="L638" s="4"/>
    </row>
    <row r="639" ht="15.75" customHeight="1">
      <c r="L639" s="4"/>
    </row>
    <row r="640" ht="15.75" customHeight="1">
      <c r="L640" s="4"/>
    </row>
    <row r="641" ht="15.75" customHeight="1">
      <c r="L641" s="4"/>
    </row>
    <row r="642" ht="15.75" customHeight="1">
      <c r="L642" s="4"/>
    </row>
    <row r="643" ht="15.75" customHeight="1">
      <c r="L643" s="4"/>
    </row>
    <row r="644" ht="15.75" customHeight="1">
      <c r="L644" s="4"/>
    </row>
    <row r="645" ht="15.75" customHeight="1">
      <c r="L645" s="4"/>
    </row>
    <row r="646" ht="15.75" customHeight="1">
      <c r="L646" s="4"/>
    </row>
    <row r="647" ht="15.75" customHeight="1">
      <c r="L647" s="4"/>
    </row>
    <row r="648" ht="15.75" customHeight="1">
      <c r="L648" s="4"/>
    </row>
    <row r="649" ht="15.75" customHeight="1">
      <c r="L649" s="4"/>
    </row>
    <row r="650" ht="15.75" customHeight="1">
      <c r="L650" s="4"/>
    </row>
    <row r="651" ht="15.75" customHeight="1">
      <c r="L651" s="4"/>
    </row>
    <row r="652" ht="15.75" customHeight="1">
      <c r="L652" s="4"/>
    </row>
    <row r="653" ht="15.75" customHeight="1">
      <c r="L653" s="4"/>
    </row>
    <row r="654" ht="15.75" customHeight="1">
      <c r="L654" s="4"/>
    </row>
    <row r="655" ht="15.75" customHeight="1">
      <c r="L655" s="4"/>
    </row>
    <row r="656" ht="15.75" customHeight="1">
      <c r="L656" s="4"/>
    </row>
    <row r="657" ht="15.75" customHeight="1">
      <c r="L657" s="4"/>
    </row>
    <row r="658" ht="15.75" customHeight="1">
      <c r="L658" s="4"/>
    </row>
    <row r="659" ht="15.75" customHeight="1">
      <c r="L659" s="4"/>
    </row>
    <row r="660" ht="15.75" customHeight="1">
      <c r="L660" s="4"/>
    </row>
    <row r="661" ht="15.75" customHeight="1">
      <c r="L661" s="4"/>
    </row>
    <row r="662" ht="15.75" customHeight="1">
      <c r="L662" s="4"/>
    </row>
    <row r="663" ht="15.75" customHeight="1">
      <c r="L663" s="4"/>
    </row>
    <row r="664" ht="15.75" customHeight="1">
      <c r="L664" s="4"/>
    </row>
    <row r="665" ht="15.75" customHeight="1">
      <c r="L665" s="4"/>
    </row>
    <row r="666" ht="15.75" customHeight="1">
      <c r="L666" s="4"/>
    </row>
    <row r="667" ht="15.75" customHeight="1">
      <c r="L667" s="4"/>
    </row>
    <row r="668" ht="15.75" customHeight="1">
      <c r="L668" s="4"/>
    </row>
    <row r="669" ht="15.75" customHeight="1">
      <c r="L669" s="4"/>
    </row>
    <row r="670" ht="15.75" customHeight="1">
      <c r="L670" s="4"/>
    </row>
    <row r="671" ht="15.75" customHeight="1">
      <c r="L671" s="4"/>
    </row>
    <row r="672" ht="15.75" customHeight="1">
      <c r="L672" s="4"/>
    </row>
    <row r="673" ht="15.75" customHeight="1">
      <c r="L673" s="4"/>
    </row>
    <row r="674" ht="15.75" customHeight="1">
      <c r="L674" s="4"/>
    </row>
    <row r="675" ht="15.75" customHeight="1">
      <c r="L675" s="4"/>
    </row>
    <row r="676" ht="15.75" customHeight="1">
      <c r="L676" s="4"/>
    </row>
    <row r="677" ht="15.75" customHeight="1">
      <c r="L677" s="4"/>
    </row>
    <row r="678" ht="15.75" customHeight="1">
      <c r="L678" s="4"/>
    </row>
    <row r="679" ht="15.75" customHeight="1">
      <c r="L679" s="4"/>
    </row>
    <row r="680" ht="15.75" customHeight="1">
      <c r="L680" s="4"/>
    </row>
    <row r="681" ht="15.75" customHeight="1">
      <c r="L681" s="4"/>
    </row>
    <row r="682" ht="15.75" customHeight="1">
      <c r="L682" s="4"/>
    </row>
    <row r="683" ht="15.75" customHeight="1">
      <c r="L683" s="4"/>
    </row>
    <row r="684" ht="15.75" customHeight="1">
      <c r="L684" s="4"/>
    </row>
    <row r="685" ht="15.75" customHeight="1">
      <c r="L685" s="4"/>
    </row>
    <row r="686" ht="15.75" customHeight="1">
      <c r="L686" s="4"/>
    </row>
    <row r="687" ht="15.75" customHeight="1">
      <c r="L687" s="4"/>
    </row>
    <row r="688" ht="15.75" customHeight="1">
      <c r="L688" s="4"/>
    </row>
    <row r="689" ht="15.75" customHeight="1">
      <c r="L689" s="4"/>
    </row>
    <row r="690" ht="15.75" customHeight="1">
      <c r="L690" s="4"/>
    </row>
    <row r="691" ht="15.75" customHeight="1">
      <c r="L691" s="4"/>
    </row>
    <row r="692" ht="15.75" customHeight="1">
      <c r="L692" s="4"/>
    </row>
    <row r="693" ht="15.75" customHeight="1">
      <c r="L693" s="4"/>
    </row>
    <row r="694" ht="15.75" customHeight="1">
      <c r="L694" s="4"/>
    </row>
    <row r="695" ht="15.75" customHeight="1">
      <c r="L695" s="4"/>
    </row>
    <row r="696" ht="15.75" customHeight="1">
      <c r="L696" s="4"/>
    </row>
    <row r="697" ht="15.75" customHeight="1">
      <c r="L697" s="4"/>
    </row>
    <row r="698" ht="15.75" customHeight="1">
      <c r="L698" s="4"/>
    </row>
    <row r="699" ht="15.75" customHeight="1">
      <c r="L699" s="4"/>
    </row>
    <row r="700" ht="15.75" customHeight="1">
      <c r="L700" s="4"/>
    </row>
    <row r="701" ht="15.75" customHeight="1">
      <c r="L701" s="4"/>
    </row>
    <row r="702" ht="15.75" customHeight="1">
      <c r="L702" s="4"/>
    </row>
    <row r="703" ht="15.75" customHeight="1">
      <c r="L703" s="4"/>
    </row>
    <row r="704" ht="15.75" customHeight="1">
      <c r="L704" s="4"/>
    </row>
    <row r="705" ht="15.75" customHeight="1">
      <c r="L705" s="4"/>
    </row>
    <row r="706" ht="15.75" customHeight="1">
      <c r="L706" s="4"/>
    </row>
    <row r="707" ht="15.75" customHeight="1">
      <c r="L707" s="4"/>
    </row>
    <row r="708" ht="15.75" customHeight="1">
      <c r="L708" s="4"/>
    </row>
    <row r="709" ht="15.75" customHeight="1">
      <c r="L709" s="4"/>
    </row>
    <row r="710" ht="15.75" customHeight="1">
      <c r="L710" s="4"/>
    </row>
    <row r="711" ht="15.75" customHeight="1">
      <c r="L711" s="4"/>
    </row>
    <row r="712" ht="15.75" customHeight="1">
      <c r="L712" s="4"/>
    </row>
    <row r="713" ht="15.75" customHeight="1">
      <c r="L713" s="4"/>
    </row>
    <row r="714" ht="15.75" customHeight="1">
      <c r="L714" s="4"/>
    </row>
    <row r="715" ht="15.75" customHeight="1">
      <c r="L715" s="4"/>
    </row>
    <row r="716" ht="15.75" customHeight="1">
      <c r="L716" s="4"/>
    </row>
    <row r="717" ht="15.75" customHeight="1">
      <c r="L717" s="4"/>
    </row>
    <row r="718" ht="15.75" customHeight="1">
      <c r="L718" s="4"/>
    </row>
    <row r="719" ht="15.75" customHeight="1">
      <c r="L719" s="4"/>
    </row>
    <row r="720" ht="15.75" customHeight="1">
      <c r="L720" s="4"/>
    </row>
    <row r="721" ht="15.75" customHeight="1">
      <c r="L721" s="4"/>
    </row>
    <row r="722" ht="15.75" customHeight="1">
      <c r="L722" s="4"/>
    </row>
    <row r="723" ht="15.75" customHeight="1">
      <c r="L723" s="4"/>
    </row>
    <row r="724" ht="15.75" customHeight="1">
      <c r="L724" s="4"/>
    </row>
    <row r="725" ht="15.75" customHeight="1">
      <c r="L725" s="4"/>
    </row>
    <row r="726" ht="15.75" customHeight="1">
      <c r="L726" s="4"/>
    </row>
    <row r="727" ht="15.75" customHeight="1">
      <c r="L727" s="4"/>
    </row>
    <row r="728" ht="15.75" customHeight="1">
      <c r="L728" s="4"/>
    </row>
    <row r="729" ht="15.75" customHeight="1">
      <c r="L729" s="4"/>
    </row>
    <row r="730" ht="15.75" customHeight="1">
      <c r="L730" s="4"/>
    </row>
    <row r="731" ht="15.75" customHeight="1">
      <c r="L731" s="4"/>
    </row>
    <row r="732" ht="15.75" customHeight="1">
      <c r="L732" s="4"/>
    </row>
    <row r="733" ht="15.75" customHeight="1">
      <c r="L733" s="4"/>
    </row>
    <row r="734" ht="15.75" customHeight="1">
      <c r="L734" s="4"/>
    </row>
    <row r="735" ht="15.75" customHeight="1">
      <c r="L735" s="4"/>
    </row>
    <row r="736" ht="15.75" customHeight="1">
      <c r="L736" s="4"/>
    </row>
    <row r="737" ht="15.75" customHeight="1">
      <c r="L737" s="4"/>
    </row>
    <row r="738" ht="15.75" customHeight="1">
      <c r="L738" s="4"/>
    </row>
    <row r="739" ht="15.75" customHeight="1">
      <c r="L739" s="4"/>
    </row>
    <row r="740" ht="15.75" customHeight="1">
      <c r="L740" s="4"/>
    </row>
    <row r="741" ht="15.75" customHeight="1">
      <c r="L741" s="4"/>
    </row>
    <row r="742" ht="15.75" customHeight="1">
      <c r="L742" s="4"/>
    </row>
    <row r="743" ht="15.75" customHeight="1">
      <c r="L743" s="4"/>
    </row>
    <row r="744" ht="15.75" customHeight="1">
      <c r="L744" s="4"/>
    </row>
    <row r="745" ht="15.75" customHeight="1">
      <c r="L745" s="4"/>
    </row>
    <row r="746" ht="15.75" customHeight="1">
      <c r="L746" s="4"/>
    </row>
    <row r="747" ht="15.75" customHeight="1">
      <c r="L747" s="4"/>
    </row>
    <row r="748" ht="15.75" customHeight="1">
      <c r="L748" s="4"/>
    </row>
    <row r="749" ht="15.75" customHeight="1">
      <c r="L749" s="4"/>
    </row>
    <row r="750" ht="15.75" customHeight="1">
      <c r="L750" s="4"/>
    </row>
    <row r="751" ht="15.75" customHeight="1">
      <c r="L751" s="4"/>
    </row>
    <row r="752" ht="15.75" customHeight="1">
      <c r="L752" s="4"/>
    </row>
    <row r="753" ht="15.75" customHeight="1">
      <c r="L753" s="4"/>
    </row>
    <row r="754" ht="15.75" customHeight="1">
      <c r="L754" s="4"/>
    </row>
    <row r="755" ht="15.75" customHeight="1">
      <c r="L755" s="4"/>
    </row>
    <row r="756" ht="15.75" customHeight="1">
      <c r="L756" s="4"/>
    </row>
    <row r="757" ht="15.75" customHeight="1">
      <c r="L757" s="4"/>
    </row>
    <row r="758" ht="15.75" customHeight="1">
      <c r="L758" s="4"/>
    </row>
    <row r="759" ht="15.75" customHeight="1">
      <c r="L759" s="4"/>
    </row>
    <row r="760" ht="15.75" customHeight="1">
      <c r="L760" s="4"/>
    </row>
    <row r="761" ht="15.75" customHeight="1">
      <c r="L761" s="4"/>
    </row>
    <row r="762" ht="15.75" customHeight="1">
      <c r="L762" s="4"/>
    </row>
    <row r="763" ht="15.75" customHeight="1">
      <c r="L763" s="4"/>
    </row>
    <row r="764" ht="15.75" customHeight="1">
      <c r="L764" s="4"/>
    </row>
    <row r="765" ht="15.75" customHeight="1">
      <c r="L765" s="4"/>
    </row>
    <row r="766" ht="15.75" customHeight="1">
      <c r="L766" s="4"/>
    </row>
    <row r="767" ht="15.75" customHeight="1">
      <c r="L767" s="4"/>
    </row>
    <row r="768" ht="15.75" customHeight="1">
      <c r="L768" s="4"/>
    </row>
    <row r="769" ht="15.75" customHeight="1">
      <c r="L769" s="4"/>
    </row>
    <row r="770" ht="15.75" customHeight="1">
      <c r="L770" s="4"/>
    </row>
    <row r="771" ht="15.75" customHeight="1">
      <c r="L771" s="4"/>
    </row>
    <row r="772" ht="15.75" customHeight="1">
      <c r="L772" s="4"/>
    </row>
    <row r="773" ht="15.75" customHeight="1">
      <c r="L773" s="4"/>
    </row>
    <row r="774" ht="15.75" customHeight="1">
      <c r="L774" s="4"/>
    </row>
    <row r="775" ht="15.75" customHeight="1">
      <c r="L775" s="4"/>
    </row>
    <row r="776" ht="15.75" customHeight="1">
      <c r="L776" s="4"/>
    </row>
    <row r="777" ht="15.75" customHeight="1">
      <c r="L777" s="4"/>
    </row>
    <row r="778" ht="15.75" customHeight="1">
      <c r="L778" s="4"/>
    </row>
    <row r="779" ht="15.75" customHeight="1">
      <c r="L779" s="4"/>
    </row>
    <row r="780" ht="15.75" customHeight="1">
      <c r="L780" s="4"/>
    </row>
    <row r="781" ht="15.75" customHeight="1">
      <c r="L781" s="4"/>
    </row>
    <row r="782" ht="15.75" customHeight="1">
      <c r="L782" s="4"/>
    </row>
    <row r="783" ht="15.75" customHeight="1">
      <c r="L783" s="4"/>
    </row>
    <row r="784" ht="15.75" customHeight="1">
      <c r="L784" s="4"/>
    </row>
    <row r="785" ht="15.75" customHeight="1">
      <c r="L785" s="4"/>
    </row>
    <row r="786" ht="15.75" customHeight="1">
      <c r="L786" s="4"/>
    </row>
    <row r="787" ht="15.75" customHeight="1">
      <c r="L787" s="4"/>
    </row>
    <row r="788" ht="15.75" customHeight="1">
      <c r="L788" s="4"/>
    </row>
    <row r="789" ht="15.75" customHeight="1">
      <c r="L789" s="4"/>
    </row>
    <row r="790" ht="15.75" customHeight="1">
      <c r="L790" s="4"/>
    </row>
    <row r="791" ht="15.75" customHeight="1">
      <c r="L791" s="4"/>
    </row>
    <row r="792" ht="15.75" customHeight="1">
      <c r="L792" s="4"/>
    </row>
    <row r="793" ht="15.75" customHeight="1">
      <c r="L793" s="4"/>
    </row>
    <row r="794" ht="15.75" customHeight="1">
      <c r="L794" s="4"/>
    </row>
    <row r="795" ht="15.75" customHeight="1">
      <c r="L795" s="4"/>
    </row>
    <row r="796" ht="15.75" customHeight="1">
      <c r="L796" s="4"/>
    </row>
    <row r="797" ht="15.75" customHeight="1">
      <c r="L797" s="4"/>
    </row>
    <row r="798" ht="15.75" customHeight="1">
      <c r="L798" s="4"/>
    </row>
    <row r="799" ht="15.75" customHeight="1">
      <c r="L799" s="4"/>
    </row>
    <row r="800" ht="15.75" customHeight="1">
      <c r="L800" s="4"/>
    </row>
    <row r="801" ht="15.75" customHeight="1">
      <c r="L801" s="4"/>
    </row>
    <row r="802" ht="15.75" customHeight="1">
      <c r="L802" s="4"/>
    </row>
    <row r="803" ht="15.75" customHeight="1">
      <c r="L803" s="4"/>
    </row>
    <row r="804" ht="15.75" customHeight="1">
      <c r="L804" s="4"/>
    </row>
    <row r="805" ht="15.75" customHeight="1">
      <c r="L805" s="4"/>
    </row>
    <row r="806" ht="15.75" customHeight="1">
      <c r="L806" s="4"/>
    </row>
    <row r="807" ht="15.75" customHeight="1">
      <c r="L807" s="4"/>
    </row>
    <row r="808" ht="15.75" customHeight="1">
      <c r="L808" s="4"/>
    </row>
    <row r="809" ht="15.75" customHeight="1">
      <c r="L809" s="4"/>
    </row>
    <row r="810" ht="15.75" customHeight="1">
      <c r="L810" s="4"/>
    </row>
    <row r="811" ht="15.75" customHeight="1">
      <c r="L811" s="4"/>
    </row>
    <row r="812" ht="15.75" customHeight="1">
      <c r="L812" s="4"/>
    </row>
    <row r="813" ht="15.75" customHeight="1">
      <c r="L813" s="4"/>
    </row>
    <row r="814" ht="15.75" customHeight="1">
      <c r="L814" s="4"/>
    </row>
    <row r="815" ht="15.75" customHeight="1">
      <c r="L815" s="4"/>
    </row>
    <row r="816" ht="15.75" customHeight="1">
      <c r="L816" s="4"/>
    </row>
    <row r="817" ht="15.75" customHeight="1">
      <c r="L817" s="4"/>
    </row>
    <row r="818" ht="15.75" customHeight="1">
      <c r="L818" s="4"/>
    </row>
    <row r="819" ht="15.75" customHeight="1">
      <c r="L819" s="4"/>
    </row>
    <row r="820" ht="15.75" customHeight="1">
      <c r="L820" s="4"/>
    </row>
    <row r="821" ht="15.75" customHeight="1">
      <c r="L821" s="4"/>
    </row>
    <row r="822" ht="15.75" customHeight="1">
      <c r="L822" s="4"/>
    </row>
    <row r="823" ht="15.75" customHeight="1">
      <c r="L823" s="4"/>
    </row>
    <row r="824" ht="15.75" customHeight="1">
      <c r="L824" s="4"/>
    </row>
    <row r="825" ht="15.75" customHeight="1">
      <c r="L825" s="4"/>
    </row>
    <row r="826" ht="15.75" customHeight="1">
      <c r="L826" s="4"/>
    </row>
    <row r="827" ht="15.75" customHeight="1">
      <c r="L827" s="4"/>
    </row>
    <row r="828" ht="15.75" customHeight="1">
      <c r="L828" s="4"/>
    </row>
    <row r="829" ht="15.75" customHeight="1">
      <c r="L829" s="4"/>
    </row>
    <row r="830" ht="15.75" customHeight="1">
      <c r="L830" s="4"/>
    </row>
    <row r="831" ht="15.75" customHeight="1">
      <c r="L831" s="4"/>
    </row>
    <row r="832" ht="15.75" customHeight="1">
      <c r="L832" s="4"/>
    </row>
    <row r="833" ht="15.75" customHeight="1">
      <c r="L833" s="4"/>
    </row>
    <row r="834" ht="15.75" customHeight="1">
      <c r="L834" s="4"/>
    </row>
    <row r="835" ht="15.75" customHeight="1">
      <c r="L835" s="4"/>
    </row>
    <row r="836" ht="15.75" customHeight="1">
      <c r="L836" s="4"/>
    </row>
    <row r="837" ht="15.75" customHeight="1">
      <c r="L837" s="4"/>
    </row>
    <row r="838" ht="15.75" customHeight="1">
      <c r="L838" s="4"/>
    </row>
    <row r="839" ht="15.75" customHeight="1">
      <c r="L839" s="4"/>
    </row>
    <row r="840" ht="15.75" customHeight="1">
      <c r="L840" s="4"/>
    </row>
    <row r="841" ht="15.75" customHeight="1">
      <c r="L841" s="4"/>
    </row>
    <row r="842" ht="15.75" customHeight="1">
      <c r="L842" s="4"/>
    </row>
    <row r="843" ht="15.75" customHeight="1">
      <c r="L843" s="4"/>
    </row>
    <row r="844" ht="15.75" customHeight="1">
      <c r="L844" s="4"/>
    </row>
    <row r="845" ht="15.75" customHeight="1">
      <c r="L845" s="4"/>
    </row>
    <row r="846" ht="15.75" customHeight="1">
      <c r="L846" s="4"/>
    </row>
    <row r="847" ht="15.75" customHeight="1">
      <c r="L847" s="4"/>
    </row>
    <row r="848" ht="15.75" customHeight="1">
      <c r="L848" s="4"/>
    </row>
    <row r="849" ht="15.75" customHeight="1">
      <c r="L849" s="4"/>
    </row>
    <row r="850" ht="15.75" customHeight="1">
      <c r="L850" s="4"/>
    </row>
    <row r="851" ht="15.75" customHeight="1">
      <c r="L851" s="4"/>
    </row>
    <row r="852" ht="15.75" customHeight="1">
      <c r="L852" s="4"/>
    </row>
    <row r="853" ht="15.75" customHeight="1">
      <c r="L853" s="4"/>
    </row>
    <row r="854" ht="15.75" customHeight="1">
      <c r="L854" s="4"/>
    </row>
    <row r="855" ht="15.75" customHeight="1">
      <c r="L855" s="4"/>
    </row>
    <row r="856" ht="15.75" customHeight="1">
      <c r="L856" s="4"/>
    </row>
    <row r="857" ht="15.75" customHeight="1">
      <c r="L857" s="4"/>
    </row>
    <row r="858" ht="15.75" customHeight="1">
      <c r="L858" s="4"/>
    </row>
    <row r="859" ht="15.75" customHeight="1">
      <c r="L859" s="4"/>
    </row>
    <row r="860" ht="15.75" customHeight="1">
      <c r="L860" s="4"/>
    </row>
    <row r="861" ht="15.75" customHeight="1">
      <c r="L861" s="4"/>
    </row>
    <row r="862" ht="15.75" customHeight="1">
      <c r="L862" s="4"/>
    </row>
    <row r="863" ht="15.75" customHeight="1">
      <c r="L863" s="4"/>
    </row>
    <row r="864" ht="15.75" customHeight="1">
      <c r="L864" s="4"/>
    </row>
    <row r="865" ht="15.75" customHeight="1">
      <c r="L865" s="4"/>
    </row>
    <row r="866" ht="15.75" customHeight="1">
      <c r="L866" s="4"/>
    </row>
    <row r="867" ht="15.75" customHeight="1">
      <c r="L867" s="4"/>
    </row>
    <row r="868" ht="15.75" customHeight="1">
      <c r="L868" s="4"/>
    </row>
    <row r="869" ht="15.75" customHeight="1">
      <c r="L869" s="4"/>
    </row>
    <row r="870" ht="15.75" customHeight="1">
      <c r="L870" s="4"/>
    </row>
    <row r="871" ht="15.75" customHeight="1">
      <c r="L871" s="4"/>
    </row>
    <row r="872" ht="15.75" customHeight="1">
      <c r="L872" s="4"/>
    </row>
    <row r="873" ht="15.75" customHeight="1">
      <c r="L873" s="4"/>
    </row>
    <row r="874" ht="15.75" customHeight="1">
      <c r="L874" s="4"/>
    </row>
    <row r="875" ht="15.75" customHeight="1">
      <c r="L875" s="4"/>
    </row>
    <row r="876" ht="15.75" customHeight="1">
      <c r="L876" s="4"/>
    </row>
    <row r="877" ht="15.75" customHeight="1">
      <c r="L877" s="4"/>
    </row>
    <row r="878" ht="15.75" customHeight="1">
      <c r="L878" s="4"/>
    </row>
    <row r="879" ht="15.75" customHeight="1">
      <c r="L879" s="4"/>
    </row>
    <row r="880" ht="15.75" customHeight="1">
      <c r="L880" s="4"/>
    </row>
    <row r="881" ht="15.75" customHeight="1">
      <c r="L881" s="4"/>
    </row>
    <row r="882" ht="15.75" customHeight="1">
      <c r="L882" s="4"/>
    </row>
    <row r="883" ht="15.75" customHeight="1">
      <c r="L883" s="4"/>
    </row>
    <row r="884" ht="15.75" customHeight="1">
      <c r="L884" s="4"/>
    </row>
    <row r="885" ht="15.75" customHeight="1">
      <c r="L885" s="4"/>
    </row>
    <row r="886" ht="15.75" customHeight="1">
      <c r="L886" s="4"/>
    </row>
    <row r="887" ht="15.75" customHeight="1">
      <c r="L887" s="4"/>
    </row>
    <row r="888" ht="15.75" customHeight="1">
      <c r="L888" s="4"/>
    </row>
    <row r="889" ht="15.75" customHeight="1">
      <c r="L889" s="4"/>
    </row>
    <row r="890" ht="15.75" customHeight="1">
      <c r="L890" s="4"/>
    </row>
    <row r="891" ht="15.75" customHeight="1">
      <c r="L891" s="4"/>
    </row>
    <row r="892" ht="15.75" customHeight="1">
      <c r="L892" s="4"/>
    </row>
    <row r="893" ht="15.75" customHeight="1">
      <c r="L893" s="4"/>
    </row>
    <row r="894" ht="15.75" customHeight="1">
      <c r="L894" s="4"/>
    </row>
    <row r="895" ht="15.75" customHeight="1">
      <c r="L895" s="4"/>
    </row>
    <row r="896" ht="15.75" customHeight="1">
      <c r="L896" s="4"/>
    </row>
    <row r="897" ht="15.75" customHeight="1">
      <c r="L897" s="4"/>
    </row>
    <row r="898" ht="15.75" customHeight="1">
      <c r="L898" s="4"/>
    </row>
    <row r="899" ht="15.75" customHeight="1">
      <c r="L899" s="4"/>
    </row>
    <row r="900" ht="15.75" customHeight="1">
      <c r="L900" s="4"/>
    </row>
    <row r="901" ht="15.75" customHeight="1">
      <c r="L901" s="4"/>
    </row>
    <row r="902" ht="15.75" customHeight="1">
      <c r="L902" s="4"/>
    </row>
    <row r="903" ht="15.75" customHeight="1">
      <c r="L903" s="4"/>
    </row>
    <row r="904" ht="15.75" customHeight="1">
      <c r="L904" s="4"/>
    </row>
    <row r="905" ht="15.75" customHeight="1">
      <c r="L905" s="4"/>
    </row>
    <row r="906" ht="15.75" customHeight="1">
      <c r="L906" s="4"/>
    </row>
    <row r="907" ht="15.75" customHeight="1">
      <c r="L907" s="4"/>
    </row>
    <row r="908" ht="15.75" customHeight="1">
      <c r="L908" s="4"/>
    </row>
    <row r="909" ht="15.75" customHeight="1">
      <c r="L909" s="4"/>
    </row>
    <row r="910" ht="15.75" customHeight="1">
      <c r="L910" s="4"/>
    </row>
    <row r="911" ht="15.75" customHeight="1">
      <c r="L911" s="4"/>
    </row>
    <row r="912" ht="15.75" customHeight="1">
      <c r="L912" s="4"/>
    </row>
    <row r="913" ht="15.75" customHeight="1">
      <c r="L913" s="4"/>
    </row>
    <row r="914" ht="15.75" customHeight="1">
      <c r="L914" s="4"/>
    </row>
    <row r="915" ht="15.75" customHeight="1">
      <c r="L915" s="4"/>
    </row>
    <row r="916" ht="15.75" customHeight="1">
      <c r="L916" s="4"/>
    </row>
    <row r="917" ht="15.75" customHeight="1">
      <c r="L917" s="4"/>
    </row>
    <row r="918" ht="15.75" customHeight="1">
      <c r="L918" s="4"/>
    </row>
    <row r="919" ht="15.75" customHeight="1">
      <c r="L919" s="4"/>
    </row>
    <row r="920" ht="15.75" customHeight="1">
      <c r="L920" s="4"/>
    </row>
    <row r="921" ht="15.75" customHeight="1">
      <c r="L921" s="4"/>
    </row>
    <row r="922" ht="15.75" customHeight="1">
      <c r="L922" s="4"/>
    </row>
    <row r="923" ht="15.75" customHeight="1">
      <c r="L923" s="4"/>
    </row>
    <row r="924" ht="15.75" customHeight="1">
      <c r="L924" s="4"/>
    </row>
    <row r="925" ht="15.75" customHeight="1">
      <c r="L925" s="4"/>
    </row>
    <row r="926" ht="15.75" customHeight="1">
      <c r="L926" s="4"/>
    </row>
    <row r="927" ht="15.75" customHeight="1">
      <c r="L927" s="4"/>
    </row>
    <row r="928" ht="15.75" customHeight="1">
      <c r="L928" s="4"/>
    </row>
    <row r="929" ht="15.75" customHeight="1">
      <c r="L929" s="4"/>
    </row>
    <row r="930" ht="15.75" customHeight="1">
      <c r="L930" s="4"/>
    </row>
    <row r="931" ht="15.75" customHeight="1">
      <c r="L931" s="4"/>
    </row>
    <row r="932" ht="15.75" customHeight="1">
      <c r="L932" s="4"/>
    </row>
    <row r="933" ht="15.75" customHeight="1">
      <c r="L933" s="4"/>
    </row>
    <row r="934" ht="15.75" customHeight="1">
      <c r="L934" s="4"/>
    </row>
    <row r="935" ht="15.75" customHeight="1">
      <c r="L935" s="4"/>
    </row>
    <row r="936" ht="15.75" customHeight="1">
      <c r="L936" s="4"/>
    </row>
    <row r="937" ht="15.75" customHeight="1">
      <c r="L937" s="4"/>
    </row>
    <row r="938" ht="15.75" customHeight="1">
      <c r="L938" s="4"/>
    </row>
    <row r="939" ht="15.75" customHeight="1">
      <c r="L939" s="4"/>
    </row>
    <row r="940" ht="15.75" customHeight="1">
      <c r="L940" s="4"/>
    </row>
    <row r="941" ht="15.75" customHeight="1">
      <c r="L941" s="4"/>
    </row>
    <row r="942" ht="15.75" customHeight="1">
      <c r="L942" s="4"/>
    </row>
    <row r="943" ht="15.75" customHeight="1">
      <c r="L943" s="4"/>
    </row>
    <row r="944" ht="15.75" customHeight="1">
      <c r="L944" s="4"/>
    </row>
    <row r="945" ht="15.75" customHeight="1">
      <c r="L945" s="4"/>
    </row>
    <row r="946" ht="15.75" customHeight="1">
      <c r="L946" s="4"/>
    </row>
    <row r="947" ht="15.75" customHeight="1">
      <c r="L947" s="4"/>
    </row>
    <row r="948" ht="15.75" customHeight="1">
      <c r="L948" s="4"/>
    </row>
    <row r="949" ht="15.75" customHeight="1">
      <c r="L949" s="4"/>
    </row>
    <row r="950" ht="15.75" customHeight="1">
      <c r="L950" s="4"/>
    </row>
    <row r="951" ht="15.75" customHeight="1">
      <c r="L951" s="4"/>
    </row>
    <row r="952" ht="15.75" customHeight="1">
      <c r="L952" s="4"/>
    </row>
    <row r="953" ht="15.75" customHeight="1">
      <c r="L953" s="4"/>
    </row>
    <row r="954" ht="15.75" customHeight="1">
      <c r="L954" s="4"/>
    </row>
    <row r="955" ht="15.75" customHeight="1">
      <c r="L955" s="4"/>
    </row>
    <row r="956" ht="15.75" customHeight="1">
      <c r="L956" s="4"/>
    </row>
    <row r="957" ht="15.75" customHeight="1">
      <c r="L957" s="4"/>
    </row>
    <row r="958" ht="15.75" customHeight="1">
      <c r="L958" s="4"/>
    </row>
    <row r="959" ht="15.75" customHeight="1">
      <c r="L959" s="4"/>
    </row>
    <row r="960" ht="15.75" customHeight="1">
      <c r="L960" s="4"/>
    </row>
    <row r="961" ht="15.75" customHeight="1">
      <c r="L961" s="4"/>
    </row>
    <row r="962" ht="15.75" customHeight="1">
      <c r="L962" s="4"/>
    </row>
    <row r="963" ht="15.75" customHeight="1">
      <c r="L963" s="4"/>
    </row>
    <row r="964" ht="15.75" customHeight="1">
      <c r="L964" s="4"/>
    </row>
    <row r="965" ht="15.75" customHeight="1">
      <c r="L965" s="4"/>
    </row>
    <row r="966" ht="15.75" customHeight="1">
      <c r="L966" s="4"/>
    </row>
    <row r="967" ht="15.75" customHeight="1">
      <c r="L967" s="4"/>
    </row>
    <row r="968" ht="15.75" customHeight="1">
      <c r="L968" s="4"/>
    </row>
    <row r="969" ht="15.75" customHeight="1">
      <c r="L969" s="4"/>
    </row>
    <row r="970" ht="15.75" customHeight="1">
      <c r="L970" s="4"/>
    </row>
    <row r="971" ht="15.75" customHeight="1">
      <c r="L971" s="4"/>
    </row>
    <row r="972" ht="15.75" customHeight="1">
      <c r="L972" s="4"/>
    </row>
    <row r="973" ht="15.75" customHeight="1">
      <c r="L973" s="4"/>
    </row>
    <row r="974" ht="15.75" customHeight="1">
      <c r="L974" s="4"/>
    </row>
    <row r="975" ht="15.75" customHeight="1">
      <c r="L975" s="4"/>
    </row>
    <row r="976" ht="15.75" customHeight="1">
      <c r="L976" s="4"/>
    </row>
    <row r="977" ht="15.75" customHeight="1">
      <c r="L977" s="4"/>
    </row>
    <row r="978" ht="15.75" customHeight="1">
      <c r="L978" s="4"/>
    </row>
    <row r="979" ht="15.75" customHeight="1">
      <c r="L979" s="4"/>
    </row>
    <row r="980" ht="15.75" customHeight="1">
      <c r="L980" s="4"/>
    </row>
    <row r="981" ht="15.75" customHeight="1">
      <c r="L981" s="4"/>
    </row>
    <row r="982" ht="15.75" customHeight="1">
      <c r="L982" s="4"/>
    </row>
    <row r="983" ht="15.75" customHeight="1">
      <c r="L983" s="4"/>
    </row>
    <row r="984" ht="15.75" customHeight="1">
      <c r="L984" s="4"/>
    </row>
    <row r="985" ht="15.75" customHeight="1">
      <c r="L985" s="4"/>
    </row>
    <row r="986" ht="15.75" customHeight="1">
      <c r="L986" s="4"/>
    </row>
    <row r="987" ht="15.75" customHeight="1">
      <c r="L987" s="4"/>
    </row>
    <row r="988" ht="15.75" customHeight="1">
      <c r="L988" s="4"/>
    </row>
    <row r="989" ht="15.75" customHeight="1">
      <c r="L989" s="4"/>
    </row>
    <row r="990" ht="15.75" customHeight="1">
      <c r="L990" s="4"/>
    </row>
    <row r="991" ht="15.75" customHeight="1">
      <c r="L991" s="4"/>
    </row>
    <row r="992" ht="15.75" customHeight="1">
      <c r="L992" s="4"/>
    </row>
    <row r="993" ht="15.75" customHeight="1">
      <c r="L993" s="4"/>
    </row>
    <row r="994" ht="15.75" customHeight="1">
      <c r="L994" s="4"/>
    </row>
    <row r="995" ht="15.75" customHeight="1">
      <c r="L995" s="4"/>
    </row>
    <row r="996" ht="15.75" customHeight="1">
      <c r="L996" s="4"/>
    </row>
    <row r="997" ht="15.75" customHeight="1">
      <c r="L997" s="4"/>
    </row>
    <row r="998" ht="15.75" customHeight="1">
      <c r="L998" s="4"/>
    </row>
    <row r="999" ht="15.75" customHeight="1">
      <c r="L999" s="4"/>
    </row>
    <row r="1000" ht="15.75" customHeight="1">
      <c r="L1000" s="4"/>
    </row>
  </sheetData>
  <autoFilter ref="$A$5:$Z$205">
    <sortState ref="A5:Z205">
      <sortCondition ref="I5:I205"/>
    </sortState>
  </autoFilter>
  <mergeCells count="4">
    <mergeCell ref="A1:K1"/>
    <mergeCell ref="A2:K2"/>
    <mergeCell ref="A4:K4"/>
    <mergeCell ref="L5:V5"/>
  </mergeCells>
  <conditionalFormatting sqref="K6:K205">
    <cfRule type="containsText" dxfId="1" priority="1" operator="containsText" text="Rojo">
      <formula>NOT(ISERROR(SEARCH(("Rojo"),(K6))))</formula>
    </cfRule>
  </conditionalFormatting>
  <conditionalFormatting sqref="K6:K205">
    <cfRule type="containsText" dxfId="2" priority="2" operator="containsText" text="Amarillo">
      <formula>NOT(ISERROR(SEARCH(("Amarillo"),(K6))))</formula>
    </cfRule>
  </conditionalFormatting>
  <conditionalFormatting sqref="K6:K205">
    <cfRule type="containsText" dxfId="3" priority="3" operator="containsText" text="Verde">
      <formula>NOT(ISERROR(SEARCH(("Verde"),(K6))))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5.43"/>
    <col customWidth="1" min="3" max="3" width="18.43"/>
    <col customWidth="1" min="4" max="5" width="14.0"/>
    <col customWidth="1" min="6" max="6" width="18.0"/>
    <col customWidth="1" min="7" max="7" width="14.0"/>
    <col customWidth="1" min="8" max="8" width="24.0"/>
    <col customWidth="1" min="9" max="9" width="28.0"/>
    <col customWidth="1" min="10" max="26" width="8.71"/>
  </cols>
  <sheetData>
    <row r="1" ht="27.75" customHeight="1">
      <c r="A1" s="22" t="s">
        <v>47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5" t="s">
        <v>48</v>
      </c>
      <c r="B2" s="2"/>
      <c r="C2" s="2"/>
      <c r="D2" s="2"/>
      <c r="E2" s="2"/>
      <c r="F2" s="2"/>
      <c r="G2" s="2"/>
      <c r="H2" s="2"/>
      <c r="I2" s="3"/>
    </row>
    <row r="4">
      <c r="A4" s="6" t="s">
        <v>49</v>
      </c>
    </row>
    <row r="5">
      <c r="A5" s="7" t="s">
        <v>50</v>
      </c>
      <c r="B5" s="7" t="s">
        <v>51</v>
      </c>
      <c r="C5" s="7" t="s">
        <v>52</v>
      </c>
      <c r="D5" s="7" t="s">
        <v>53</v>
      </c>
      <c r="E5" s="7" t="s">
        <v>54</v>
      </c>
      <c r="F5" s="7" t="s">
        <v>55</v>
      </c>
      <c r="G5" s="7" t="s">
        <v>56</v>
      </c>
      <c r="H5" s="7" t="s">
        <v>57</v>
      </c>
      <c r="I5" s="7" t="s">
        <v>58</v>
      </c>
    </row>
    <row r="6">
      <c r="A6" s="13"/>
      <c r="B6" s="15"/>
      <c r="C6" s="10" t="s">
        <v>15</v>
      </c>
      <c r="D6" s="13"/>
      <c r="E6" s="13"/>
      <c r="F6" s="13"/>
      <c r="G6" s="13"/>
      <c r="H6" s="15"/>
      <c r="I6" s="23"/>
    </row>
    <row r="7">
      <c r="A7" s="13"/>
      <c r="B7" s="15"/>
      <c r="C7" s="10" t="s">
        <v>17</v>
      </c>
      <c r="D7" s="13"/>
      <c r="E7" s="13"/>
      <c r="F7" s="13"/>
      <c r="G7" s="13"/>
      <c r="H7" s="15"/>
      <c r="I7" s="23"/>
    </row>
    <row r="8">
      <c r="A8" s="13"/>
      <c r="B8" s="15"/>
      <c r="C8" s="10" t="s">
        <v>19</v>
      </c>
      <c r="D8" s="13"/>
      <c r="E8" s="13"/>
      <c r="F8" s="13"/>
      <c r="G8" s="13"/>
      <c r="H8" s="15"/>
      <c r="I8" s="23"/>
    </row>
    <row r="9">
      <c r="A9" s="13"/>
      <c r="B9" s="15"/>
      <c r="C9" s="10" t="s">
        <v>21</v>
      </c>
      <c r="D9" s="13"/>
      <c r="E9" s="13"/>
      <c r="F9" s="13"/>
      <c r="G9" s="13"/>
      <c r="H9" s="15"/>
      <c r="I9" s="23"/>
    </row>
    <row r="10">
      <c r="A10" s="13"/>
      <c r="B10" s="15"/>
      <c r="C10" s="10" t="s">
        <v>23</v>
      </c>
      <c r="D10" s="13"/>
      <c r="E10" s="13"/>
      <c r="F10" s="13"/>
      <c r="G10" s="13"/>
      <c r="H10" s="15"/>
      <c r="I10" s="23"/>
    </row>
    <row r="11">
      <c r="A11" s="13"/>
      <c r="B11" s="15"/>
      <c r="C11" s="10" t="s">
        <v>25</v>
      </c>
      <c r="D11" s="13"/>
      <c r="E11" s="13"/>
      <c r="F11" s="13"/>
      <c r="G11" s="13"/>
      <c r="H11" s="15"/>
      <c r="I11" s="23"/>
    </row>
    <row r="12">
      <c r="A12" s="13"/>
      <c r="B12" s="15"/>
      <c r="C12" s="10" t="s">
        <v>26</v>
      </c>
      <c r="D12" s="13"/>
      <c r="E12" s="13"/>
      <c r="F12" s="13"/>
      <c r="G12" s="13"/>
      <c r="H12" s="15"/>
      <c r="I12" s="23"/>
    </row>
    <row r="13">
      <c r="A13" s="13"/>
      <c r="B13" s="15"/>
      <c r="C13" s="10" t="s">
        <v>27</v>
      </c>
      <c r="D13" s="13"/>
      <c r="E13" s="13"/>
      <c r="F13" s="13"/>
      <c r="G13" s="13"/>
      <c r="H13" s="15"/>
      <c r="I13" s="23"/>
    </row>
    <row r="14">
      <c r="A14" s="13"/>
      <c r="B14" s="15"/>
      <c r="C14" s="10" t="s">
        <v>28</v>
      </c>
      <c r="D14" s="13"/>
      <c r="E14" s="13"/>
      <c r="F14" s="13"/>
      <c r="G14" s="13"/>
      <c r="H14" s="15"/>
      <c r="I14" s="23"/>
    </row>
    <row r="15">
      <c r="A15" s="13"/>
      <c r="B15" s="15"/>
      <c r="C15" s="10" t="s">
        <v>30</v>
      </c>
      <c r="D15" s="13"/>
      <c r="E15" s="13"/>
      <c r="F15" s="13"/>
      <c r="G15" s="13"/>
      <c r="H15" s="15"/>
      <c r="I15" s="23"/>
    </row>
    <row r="16">
      <c r="A16" s="13"/>
      <c r="B16" s="15"/>
      <c r="C16" s="10" t="s">
        <v>31</v>
      </c>
      <c r="D16" s="13"/>
      <c r="E16" s="13"/>
      <c r="F16" s="13"/>
      <c r="G16" s="13"/>
      <c r="H16" s="15"/>
      <c r="I16" s="23"/>
    </row>
    <row r="17">
      <c r="A17" s="13"/>
      <c r="B17" s="15"/>
      <c r="C17" s="10" t="s">
        <v>33</v>
      </c>
      <c r="D17" s="13"/>
      <c r="E17" s="13"/>
      <c r="F17" s="13"/>
      <c r="G17" s="13"/>
      <c r="H17" s="15"/>
      <c r="I17" s="23"/>
    </row>
    <row r="18">
      <c r="A18" s="13"/>
      <c r="B18" s="15"/>
      <c r="C18" s="10" t="s">
        <v>34</v>
      </c>
      <c r="D18" s="13"/>
      <c r="E18" s="13"/>
      <c r="F18" s="13"/>
      <c r="G18" s="13"/>
      <c r="H18" s="15"/>
      <c r="I18" s="23"/>
    </row>
    <row r="19">
      <c r="A19" s="13"/>
      <c r="B19" s="15"/>
      <c r="C19" s="10" t="s">
        <v>35</v>
      </c>
      <c r="D19" s="13"/>
      <c r="E19" s="13"/>
      <c r="F19" s="13"/>
      <c r="G19" s="13"/>
      <c r="H19" s="15"/>
      <c r="I19" s="23"/>
    </row>
    <row r="20">
      <c r="A20" s="13"/>
      <c r="B20" s="15"/>
      <c r="C20" s="10" t="s">
        <v>36</v>
      </c>
      <c r="D20" s="13"/>
      <c r="E20" s="13"/>
      <c r="F20" s="13"/>
      <c r="G20" s="13"/>
      <c r="H20" s="15"/>
      <c r="I20" s="23"/>
    </row>
    <row r="21" ht="15.75" customHeight="1">
      <c r="A21" s="13"/>
      <c r="B21" s="15"/>
      <c r="C21" s="10" t="s">
        <v>37</v>
      </c>
      <c r="D21" s="13"/>
      <c r="E21" s="13"/>
      <c r="F21" s="13"/>
      <c r="G21" s="13"/>
      <c r="H21" s="15"/>
      <c r="I21" s="23"/>
    </row>
    <row r="22" ht="15.75" customHeight="1">
      <c r="A22" s="13"/>
      <c r="B22" s="15"/>
      <c r="C22" s="10" t="s">
        <v>38</v>
      </c>
      <c r="D22" s="13"/>
      <c r="E22" s="13"/>
      <c r="F22" s="13"/>
      <c r="G22" s="13"/>
      <c r="H22" s="15"/>
      <c r="I22" s="23"/>
    </row>
    <row r="23" ht="15.75" customHeight="1">
      <c r="A23" s="13"/>
      <c r="B23" s="15"/>
      <c r="C23" s="10" t="s">
        <v>39</v>
      </c>
      <c r="D23" s="13"/>
      <c r="E23" s="13"/>
      <c r="F23" s="13"/>
      <c r="G23" s="13"/>
      <c r="H23" s="15"/>
      <c r="I23" s="23"/>
    </row>
    <row r="24" ht="15.75" customHeight="1">
      <c r="A24" s="13"/>
      <c r="B24" s="15"/>
      <c r="C24" s="10" t="s">
        <v>41</v>
      </c>
      <c r="D24" s="13"/>
      <c r="E24" s="13"/>
      <c r="F24" s="13"/>
      <c r="G24" s="13"/>
      <c r="H24" s="15"/>
      <c r="I24" s="23"/>
    </row>
    <row r="25" ht="15.75" customHeight="1">
      <c r="A25" s="13"/>
      <c r="B25" s="15"/>
      <c r="C25" s="10" t="s">
        <v>43</v>
      </c>
      <c r="D25" s="13"/>
      <c r="E25" s="13"/>
      <c r="F25" s="13"/>
      <c r="G25" s="13"/>
      <c r="H25" s="15"/>
      <c r="I25" s="23"/>
    </row>
    <row r="26" ht="15.75" customHeight="1">
      <c r="A26" s="13"/>
      <c r="B26" s="15"/>
      <c r="C26" s="10" t="s">
        <v>44</v>
      </c>
      <c r="D26" s="13"/>
      <c r="E26" s="13"/>
      <c r="F26" s="13"/>
      <c r="G26" s="13"/>
      <c r="H26" s="15"/>
      <c r="I26" s="23"/>
    </row>
    <row r="27" ht="15.75" customHeight="1">
      <c r="A27" s="13"/>
      <c r="B27" s="15"/>
      <c r="C27" s="10" t="s">
        <v>45</v>
      </c>
      <c r="D27" s="13"/>
      <c r="E27" s="13"/>
      <c r="F27" s="13"/>
      <c r="G27" s="13"/>
      <c r="H27" s="15"/>
      <c r="I27" s="23"/>
    </row>
    <row r="28" ht="15.75" customHeight="1">
      <c r="A28" s="13"/>
      <c r="B28" s="15"/>
      <c r="C28" s="10" t="s">
        <v>46</v>
      </c>
      <c r="D28" s="13"/>
      <c r="E28" s="13"/>
      <c r="F28" s="13"/>
      <c r="G28" s="13"/>
      <c r="H28" s="15"/>
      <c r="I28" s="23"/>
    </row>
    <row r="29" ht="15.75" customHeight="1">
      <c r="A29" s="13"/>
      <c r="B29" s="15"/>
      <c r="C29" s="15"/>
      <c r="D29" s="13"/>
      <c r="E29" s="13"/>
      <c r="F29" s="13"/>
      <c r="G29" s="13"/>
      <c r="H29" s="15"/>
      <c r="I29" s="23"/>
    </row>
    <row r="30" ht="15.75" customHeight="1">
      <c r="A30" s="13"/>
      <c r="B30" s="15"/>
      <c r="C30" s="15"/>
      <c r="D30" s="13"/>
      <c r="E30" s="13"/>
      <c r="F30" s="13"/>
      <c r="G30" s="13"/>
      <c r="H30" s="15"/>
      <c r="I30" s="23"/>
    </row>
    <row r="31" ht="15.75" customHeight="1">
      <c r="A31" s="13"/>
      <c r="B31" s="15"/>
      <c r="C31" s="15"/>
      <c r="D31" s="13"/>
      <c r="E31" s="13"/>
      <c r="F31" s="13"/>
      <c r="G31" s="13"/>
      <c r="H31" s="15"/>
      <c r="I31" s="23"/>
    </row>
    <row r="32" ht="15.75" customHeight="1">
      <c r="A32" s="13"/>
      <c r="B32" s="15"/>
      <c r="C32" s="15"/>
      <c r="D32" s="13"/>
      <c r="E32" s="13"/>
      <c r="F32" s="13"/>
      <c r="G32" s="13"/>
      <c r="H32" s="15"/>
      <c r="I32" s="23"/>
    </row>
    <row r="33" ht="15.75" customHeight="1">
      <c r="A33" s="13"/>
      <c r="B33" s="15"/>
      <c r="C33" s="15"/>
      <c r="D33" s="13"/>
      <c r="E33" s="13"/>
      <c r="F33" s="13"/>
      <c r="G33" s="13"/>
      <c r="H33" s="15"/>
      <c r="I33" s="23"/>
    </row>
    <row r="34" ht="15.75" customHeight="1">
      <c r="A34" s="13"/>
      <c r="B34" s="15"/>
      <c r="C34" s="15"/>
      <c r="D34" s="13"/>
      <c r="E34" s="13"/>
      <c r="F34" s="13"/>
      <c r="G34" s="13"/>
      <c r="H34" s="15"/>
      <c r="I34" s="23"/>
    </row>
    <row r="35" ht="15.75" customHeight="1">
      <c r="A35" s="13"/>
      <c r="B35" s="15"/>
      <c r="C35" s="15"/>
      <c r="D35" s="13"/>
      <c r="E35" s="13"/>
      <c r="F35" s="13"/>
      <c r="G35" s="13"/>
      <c r="H35" s="15"/>
      <c r="I35" s="23"/>
    </row>
    <row r="36" ht="15.75" customHeight="1">
      <c r="A36" s="13"/>
      <c r="B36" s="15"/>
      <c r="C36" s="15"/>
      <c r="D36" s="13"/>
      <c r="E36" s="13"/>
      <c r="F36" s="13"/>
      <c r="G36" s="13"/>
      <c r="H36" s="15"/>
      <c r="I36" s="23"/>
    </row>
    <row r="37" ht="15.75" customHeight="1">
      <c r="A37" s="13"/>
      <c r="B37" s="15"/>
      <c r="C37" s="15"/>
      <c r="D37" s="13"/>
      <c r="E37" s="13"/>
      <c r="F37" s="13"/>
      <c r="G37" s="13"/>
      <c r="H37" s="15"/>
      <c r="I37" s="23"/>
    </row>
    <row r="38" ht="15.75" customHeight="1">
      <c r="A38" s="13"/>
      <c r="B38" s="15"/>
      <c r="C38" s="15"/>
      <c r="D38" s="13"/>
      <c r="E38" s="13"/>
      <c r="F38" s="13"/>
      <c r="G38" s="13"/>
      <c r="H38" s="15"/>
      <c r="I38" s="23"/>
    </row>
    <row r="39" ht="15.75" customHeight="1">
      <c r="A39" s="13"/>
      <c r="B39" s="15"/>
      <c r="C39" s="15"/>
      <c r="D39" s="13"/>
      <c r="E39" s="13"/>
      <c r="F39" s="13"/>
      <c r="G39" s="13"/>
      <c r="H39" s="15"/>
      <c r="I39" s="23"/>
    </row>
    <row r="40" ht="15.75" customHeight="1">
      <c r="A40" s="13"/>
      <c r="B40" s="15"/>
      <c r="C40" s="15"/>
      <c r="D40" s="13"/>
      <c r="E40" s="13"/>
      <c r="F40" s="13"/>
      <c r="G40" s="13"/>
      <c r="H40" s="15"/>
      <c r="I40" s="23"/>
    </row>
    <row r="41" ht="15.75" customHeight="1">
      <c r="A41" s="13"/>
      <c r="B41" s="15"/>
      <c r="C41" s="15"/>
      <c r="D41" s="13"/>
      <c r="E41" s="13"/>
      <c r="F41" s="13"/>
      <c r="G41" s="13"/>
      <c r="H41" s="15"/>
      <c r="I41" s="23"/>
    </row>
    <row r="42" ht="15.75" customHeight="1">
      <c r="A42" s="13"/>
      <c r="B42" s="15"/>
      <c r="C42" s="15"/>
      <c r="D42" s="13"/>
      <c r="E42" s="13"/>
      <c r="F42" s="13"/>
      <c r="G42" s="13"/>
      <c r="H42" s="15"/>
      <c r="I42" s="23"/>
    </row>
    <row r="43" ht="15.75" customHeight="1">
      <c r="A43" s="13"/>
      <c r="B43" s="15"/>
      <c r="C43" s="15"/>
      <c r="D43" s="13"/>
      <c r="E43" s="13"/>
      <c r="F43" s="13"/>
      <c r="G43" s="13"/>
      <c r="H43" s="15"/>
      <c r="I43" s="23"/>
    </row>
    <row r="44" ht="15.75" customHeight="1">
      <c r="A44" s="13"/>
      <c r="B44" s="15"/>
      <c r="C44" s="15"/>
      <c r="D44" s="13"/>
      <c r="E44" s="13"/>
      <c r="F44" s="13"/>
      <c r="G44" s="13"/>
      <c r="H44" s="15"/>
      <c r="I44" s="23"/>
    </row>
    <row r="45" ht="15.75" customHeight="1">
      <c r="A45" s="13"/>
      <c r="B45" s="15"/>
      <c r="C45" s="15"/>
      <c r="D45" s="13"/>
      <c r="E45" s="13"/>
      <c r="F45" s="13"/>
      <c r="G45" s="13"/>
      <c r="H45" s="15"/>
      <c r="I45" s="23"/>
    </row>
    <row r="46" ht="15.75" customHeight="1">
      <c r="A46" s="13"/>
      <c r="B46" s="15"/>
      <c r="C46" s="15"/>
      <c r="D46" s="13"/>
      <c r="E46" s="13"/>
      <c r="F46" s="13"/>
      <c r="G46" s="13"/>
      <c r="H46" s="15"/>
      <c r="I46" s="23"/>
    </row>
    <row r="47" ht="15.75" customHeight="1">
      <c r="A47" s="13"/>
      <c r="B47" s="15"/>
      <c r="C47" s="15"/>
      <c r="D47" s="13"/>
      <c r="E47" s="13"/>
      <c r="F47" s="13"/>
      <c r="G47" s="13"/>
      <c r="H47" s="15"/>
      <c r="I47" s="23"/>
    </row>
    <row r="48" ht="15.75" customHeight="1">
      <c r="A48" s="13"/>
      <c r="B48" s="15"/>
      <c r="C48" s="15"/>
      <c r="D48" s="13"/>
      <c r="E48" s="13"/>
      <c r="F48" s="13"/>
      <c r="G48" s="13"/>
      <c r="H48" s="15"/>
      <c r="I48" s="23"/>
    </row>
    <row r="49" ht="15.75" customHeight="1">
      <c r="A49" s="13"/>
      <c r="B49" s="15"/>
      <c r="C49" s="15"/>
      <c r="D49" s="13"/>
      <c r="E49" s="13"/>
      <c r="F49" s="13"/>
      <c r="G49" s="13"/>
      <c r="H49" s="15"/>
      <c r="I49" s="23"/>
    </row>
    <row r="50" ht="15.75" customHeight="1">
      <c r="A50" s="13"/>
      <c r="B50" s="15"/>
      <c r="C50" s="15"/>
      <c r="D50" s="13"/>
      <c r="E50" s="13"/>
      <c r="F50" s="13"/>
      <c r="G50" s="13"/>
      <c r="H50" s="15"/>
      <c r="I50" s="23"/>
    </row>
    <row r="51" ht="15.75" customHeight="1">
      <c r="A51" s="13"/>
      <c r="B51" s="15"/>
      <c r="C51" s="15"/>
      <c r="D51" s="13"/>
      <c r="E51" s="13"/>
      <c r="F51" s="13"/>
      <c r="G51" s="13"/>
      <c r="H51" s="15"/>
      <c r="I51" s="23"/>
    </row>
    <row r="52" ht="15.75" customHeight="1">
      <c r="A52" s="13"/>
      <c r="B52" s="15"/>
      <c r="C52" s="15"/>
      <c r="D52" s="13"/>
      <c r="E52" s="13"/>
      <c r="F52" s="13"/>
      <c r="G52" s="13"/>
      <c r="H52" s="15"/>
      <c r="I52" s="23"/>
    </row>
    <row r="53" ht="15.75" customHeight="1">
      <c r="A53" s="13"/>
      <c r="B53" s="15"/>
      <c r="C53" s="15"/>
      <c r="D53" s="13"/>
      <c r="E53" s="13"/>
      <c r="F53" s="13"/>
      <c r="G53" s="13"/>
      <c r="H53" s="15"/>
      <c r="I53" s="23"/>
    </row>
    <row r="54" ht="15.75" customHeight="1">
      <c r="A54" s="13"/>
      <c r="B54" s="15"/>
      <c r="C54" s="15"/>
      <c r="D54" s="13"/>
      <c r="E54" s="13"/>
      <c r="F54" s="13"/>
      <c r="G54" s="13"/>
      <c r="H54" s="15"/>
      <c r="I54" s="23"/>
    </row>
    <row r="55" ht="15.75" customHeight="1">
      <c r="A55" s="13"/>
      <c r="B55" s="15"/>
      <c r="C55" s="15"/>
      <c r="D55" s="13"/>
      <c r="E55" s="13"/>
      <c r="F55" s="13"/>
      <c r="G55" s="13"/>
      <c r="H55" s="15"/>
      <c r="I55" s="23"/>
    </row>
    <row r="56" ht="15.75" customHeight="1">
      <c r="A56" s="13"/>
      <c r="B56" s="15"/>
      <c r="C56" s="15"/>
      <c r="D56" s="13"/>
      <c r="E56" s="13"/>
      <c r="F56" s="13"/>
      <c r="G56" s="13"/>
      <c r="H56" s="15"/>
      <c r="I56" s="23"/>
    </row>
    <row r="57" ht="15.75" customHeight="1">
      <c r="A57" s="13"/>
      <c r="B57" s="15"/>
      <c r="C57" s="15"/>
      <c r="D57" s="13"/>
      <c r="E57" s="13"/>
      <c r="F57" s="13"/>
      <c r="G57" s="13"/>
      <c r="H57" s="15"/>
      <c r="I57" s="23"/>
    </row>
    <row r="58" ht="15.75" customHeight="1">
      <c r="A58" s="13"/>
      <c r="B58" s="15"/>
      <c r="C58" s="15"/>
      <c r="D58" s="13"/>
      <c r="E58" s="13"/>
      <c r="F58" s="13"/>
      <c r="G58" s="13"/>
      <c r="H58" s="15"/>
      <c r="I58" s="23"/>
    </row>
    <row r="59" ht="15.75" customHeight="1">
      <c r="A59" s="13"/>
      <c r="B59" s="15"/>
      <c r="C59" s="15"/>
      <c r="D59" s="13"/>
      <c r="E59" s="13"/>
      <c r="F59" s="13"/>
      <c r="G59" s="13"/>
      <c r="H59" s="15"/>
      <c r="I59" s="23"/>
    </row>
    <row r="60" ht="15.75" customHeight="1">
      <c r="A60" s="13"/>
      <c r="B60" s="15"/>
      <c r="C60" s="15"/>
      <c r="D60" s="13"/>
      <c r="E60" s="13"/>
      <c r="F60" s="13"/>
      <c r="G60" s="13"/>
      <c r="H60" s="15"/>
      <c r="I60" s="23"/>
    </row>
    <row r="61" ht="15.75" customHeight="1">
      <c r="A61" s="13"/>
      <c r="B61" s="15"/>
      <c r="C61" s="15"/>
      <c r="D61" s="13"/>
      <c r="E61" s="13"/>
      <c r="F61" s="13"/>
      <c r="G61" s="13"/>
      <c r="H61" s="15"/>
      <c r="I61" s="23"/>
    </row>
    <row r="62" ht="15.75" customHeight="1">
      <c r="A62" s="13"/>
      <c r="B62" s="15"/>
      <c r="C62" s="15"/>
      <c r="D62" s="13"/>
      <c r="E62" s="13"/>
      <c r="F62" s="13"/>
      <c r="G62" s="13"/>
      <c r="H62" s="15"/>
      <c r="I62" s="23"/>
    </row>
    <row r="63" ht="15.75" customHeight="1">
      <c r="A63" s="13"/>
      <c r="B63" s="15"/>
      <c r="C63" s="15"/>
      <c r="D63" s="13"/>
      <c r="E63" s="13"/>
      <c r="F63" s="13"/>
      <c r="G63" s="13"/>
      <c r="H63" s="15"/>
      <c r="I63" s="23"/>
    </row>
    <row r="64" ht="15.75" customHeight="1">
      <c r="A64" s="13"/>
      <c r="B64" s="15"/>
      <c r="C64" s="15"/>
      <c r="D64" s="13"/>
      <c r="E64" s="13"/>
      <c r="F64" s="13"/>
      <c r="G64" s="13"/>
      <c r="H64" s="15"/>
      <c r="I64" s="23"/>
    </row>
    <row r="65" ht="15.75" customHeight="1">
      <c r="A65" s="13"/>
      <c r="B65" s="15"/>
      <c r="C65" s="15"/>
      <c r="D65" s="13"/>
      <c r="E65" s="13"/>
      <c r="F65" s="13"/>
      <c r="G65" s="13"/>
      <c r="H65" s="15"/>
      <c r="I65" s="23"/>
    </row>
    <row r="66" ht="15.75" customHeight="1">
      <c r="A66" s="13"/>
      <c r="B66" s="15"/>
      <c r="C66" s="15"/>
      <c r="D66" s="13"/>
      <c r="E66" s="13"/>
      <c r="F66" s="13"/>
      <c r="G66" s="13"/>
      <c r="H66" s="15"/>
      <c r="I66" s="23"/>
    </row>
    <row r="67" ht="15.75" customHeight="1">
      <c r="A67" s="13"/>
      <c r="B67" s="15"/>
      <c r="C67" s="15"/>
      <c r="D67" s="13"/>
      <c r="E67" s="13"/>
      <c r="F67" s="13"/>
      <c r="G67" s="13"/>
      <c r="H67" s="15"/>
      <c r="I67" s="23"/>
    </row>
    <row r="68" ht="15.75" customHeight="1">
      <c r="A68" s="13"/>
      <c r="B68" s="15"/>
      <c r="C68" s="15"/>
      <c r="D68" s="13"/>
      <c r="E68" s="13"/>
      <c r="F68" s="13"/>
      <c r="G68" s="13"/>
      <c r="H68" s="15"/>
      <c r="I68" s="23"/>
    </row>
    <row r="69" ht="15.75" customHeight="1">
      <c r="A69" s="13"/>
      <c r="B69" s="15"/>
      <c r="C69" s="15"/>
      <c r="D69" s="13"/>
      <c r="E69" s="13"/>
      <c r="F69" s="13"/>
      <c r="G69" s="13"/>
      <c r="H69" s="15"/>
      <c r="I69" s="23"/>
    </row>
    <row r="70" ht="15.75" customHeight="1">
      <c r="A70" s="13"/>
      <c r="B70" s="15"/>
      <c r="C70" s="15"/>
      <c r="D70" s="13"/>
      <c r="E70" s="13"/>
      <c r="F70" s="13"/>
      <c r="G70" s="13"/>
      <c r="H70" s="15"/>
      <c r="I70" s="23"/>
    </row>
    <row r="71" ht="15.75" customHeight="1">
      <c r="A71" s="13"/>
      <c r="B71" s="15"/>
      <c r="C71" s="15"/>
      <c r="D71" s="13"/>
      <c r="E71" s="13"/>
      <c r="F71" s="13"/>
      <c r="G71" s="13"/>
      <c r="H71" s="15"/>
      <c r="I71" s="23"/>
    </row>
    <row r="72" ht="15.75" customHeight="1">
      <c r="A72" s="13"/>
      <c r="B72" s="15"/>
      <c r="C72" s="15"/>
      <c r="D72" s="13"/>
      <c r="E72" s="13"/>
      <c r="F72" s="13"/>
      <c r="G72" s="13"/>
      <c r="H72" s="15"/>
      <c r="I72" s="23"/>
    </row>
    <row r="73" ht="15.75" customHeight="1">
      <c r="A73" s="13"/>
      <c r="B73" s="15"/>
      <c r="C73" s="15"/>
      <c r="D73" s="13"/>
      <c r="E73" s="13"/>
      <c r="F73" s="13"/>
      <c r="G73" s="13"/>
      <c r="H73" s="15"/>
      <c r="I73" s="23"/>
    </row>
    <row r="74" ht="15.75" customHeight="1">
      <c r="A74" s="13"/>
      <c r="B74" s="15"/>
      <c r="C74" s="15"/>
      <c r="D74" s="13"/>
      <c r="E74" s="13"/>
      <c r="F74" s="13"/>
      <c r="G74" s="13"/>
      <c r="H74" s="15"/>
      <c r="I74" s="23"/>
    </row>
    <row r="75" ht="15.75" customHeight="1">
      <c r="A75" s="13"/>
      <c r="B75" s="15"/>
      <c r="C75" s="15"/>
      <c r="D75" s="13"/>
      <c r="E75" s="13"/>
      <c r="F75" s="13"/>
      <c r="G75" s="13"/>
      <c r="H75" s="15"/>
      <c r="I75" s="23"/>
    </row>
    <row r="76" ht="15.75" customHeight="1">
      <c r="A76" s="13"/>
      <c r="B76" s="15"/>
      <c r="C76" s="15"/>
      <c r="D76" s="13"/>
      <c r="E76" s="13"/>
      <c r="F76" s="13"/>
      <c r="G76" s="13"/>
      <c r="H76" s="15"/>
      <c r="I76" s="23"/>
    </row>
    <row r="77" ht="15.75" customHeight="1">
      <c r="A77" s="13"/>
      <c r="B77" s="15"/>
      <c r="C77" s="15"/>
      <c r="D77" s="13"/>
      <c r="E77" s="13"/>
      <c r="F77" s="13"/>
      <c r="G77" s="13"/>
      <c r="H77" s="15"/>
      <c r="I77" s="23"/>
    </row>
    <row r="78" ht="15.75" customHeight="1">
      <c r="A78" s="13"/>
      <c r="B78" s="15"/>
      <c r="C78" s="15"/>
      <c r="D78" s="13"/>
      <c r="E78" s="13"/>
      <c r="F78" s="13"/>
      <c r="G78" s="13"/>
      <c r="H78" s="15"/>
      <c r="I78" s="23"/>
    </row>
    <row r="79" ht="15.75" customHeight="1">
      <c r="A79" s="13"/>
      <c r="B79" s="15"/>
      <c r="C79" s="15"/>
      <c r="D79" s="13"/>
      <c r="E79" s="13"/>
      <c r="F79" s="13"/>
      <c r="G79" s="13"/>
      <c r="H79" s="15"/>
      <c r="I79" s="23"/>
    </row>
    <row r="80" ht="15.75" customHeight="1">
      <c r="A80" s="13"/>
      <c r="B80" s="15"/>
      <c r="C80" s="15"/>
      <c r="D80" s="13"/>
      <c r="E80" s="13"/>
      <c r="F80" s="13"/>
      <c r="G80" s="13"/>
      <c r="H80" s="15"/>
      <c r="I80" s="23"/>
    </row>
    <row r="81" ht="15.75" customHeight="1">
      <c r="A81" s="13"/>
      <c r="B81" s="15"/>
      <c r="C81" s="15"/>
      <c r="D81" s="13"/>
      <c r="E81" s="13"/>
      <c r="F81" s="13"/>
      <c r="G81" s="13"/>
      <c r="H81" s="15"/>
      <c r="I81" s="23"/>
    </row>
    <row r="82" ht="15.75" customHeight="1">
      <c r="A82" s="13"/>
      <c r="B82" s="15"/>
      <c r="C82" s="15"/>
      <c r="D82" s="13"/>
      <c r="E82" s="13"/>
      <c r="F82" s="13"/>
      <c r="G82" s="13"/>
      <c r="H82" s="15"/>
      <c r="I82" s="23"/>
    </row>
    <row r="83" ht="15.75" customHeight="1">
      <c r="A83" s="13"/>
      <c r="B83" s="15"/>
      <c r="C83" s="15"/>
      <c r="D83" s="13"/>
      <c r="E83" s="13"/>
      <c r="F83" s="13"/>
      <c r="G83" s="13"/>
      <c r="H83" s="15"/>
      <c r="I83" s="23"/>
    </row>
    <row r="84" ht="15.75" customHeight="1">
      <c r="A84" s="13"/>
      <c r="B84" s="15"/>
      <c r="C84" s="15"/>
      <c r="D84" s="13"/>
      <c r="E84" s="13"/>
      <c r="F84" s="13"/>
      <c r="G84" s="13"/>
      <c r="H84" s="15"/>
      <c r="I84" s="23"/>
    </row>
    <row r="85" ht="15.75" customHeight="1">
      <c r="A85" s="13"/>
      <c r="B85" s="15"/>
      <c r="C85" s="15"/>
      <c r="D85" s="13"/>
      <c r="E85" s="13"/>
      <c r="F85" s="13"/>
      <c r="G85" s="13"/>
      <c r="H85" s="15"/>
      <c r="I85" s="23"/>
    </row>
    <row r="86" ht="15.75" customHeight="1">
      <c r="A86" s="13"/>
      <c r="B86" s="15"/>
      <c r="C86" s="15"/>
      <c r="D86" s="13"/>
      <c r="E86" s="13"/>
      <c r="F86" s="13"/>
      <c r="G86" s="13"/>
      <c r="H86" s="15"/>
      <c r="I86" s="23"/>
    </row>
    <row r="87" ht="15.75" customHeight="1">
      <c r="A87" s="13"/>
      <c r="B87" s="15"/>
      <c r="C87" s="15"/>
      <c r="D87" s="13"/>
      <c r="E87" s="13"/>
      <c r="F87" s="13"/>
      <c r="G87" s="13"/>
      <c r="H87" s="15"/>
      <c r="I87" s="23"/>
    </row>
    <row r="88" ht="15.75" customHeight="1">
      <c r="A88" s="13"/>
      <c r="B88" s="15"/>
      <c r="C88" s="15"/>
      <c r="D88" s="13"/>
      <c r="E88" s="13"/>
      <c r="F88" s="13"/>
      <c r="G88" s="13"/>
      <c r="H88" s="15"/>
      <c r="I88" s="23"/>
    </row>
    <row r="89" ht="15.75" customHeight="1">
      <c r="A89" s="13"/>
      <c r="B89" s="15"/>
      <c r="C89" s="15"/>
      <c r="D89" s="13"/>
      <c r="E89" s="13"/>
      <c r="F89" s="13"/>
      <c r="G89" s="13"/>
      <c r="H89" s="15"/>
      <c r="I89" s="23"/>
    </row>
    <row r="90" ht="15.75" customHeight="1">
      <c r="A90" s="13"/>
      <c r="B90" s="15"/>
      <c r="C90" s="15"/>
      <c r="D90" s="13"/>
      <c r="E90" s="13"/>
      <c r="F90" s="13"/>
      <c r="G90" s="13"/>
      <c r="H90" s="15"/>
      <c r="I90" s="23"/>
    </row>
    <row r="91" ht="15.75" customHeight="1">
      <c r="A91" s="13"/>
      <c r="B91" s="15"/>
      <c r="C91" s="15"/>
      <c r="D91" s="13"/>
      <c r="E91" s="13"/>
      <c r="F91" s="13"/>
      <c r="G91" s="13"/>
      <c r="H91" s="15"/>
      <c r="I91" s="23"/>
    </row>
    <row r="92" ht="15.75" customHeight="1">
      <c r="A92" s="13"/>
      <c r="B92" s="15"/>
      <c r="C92" s="15"/>
      <c r="D92" s="13"/>
      <c r="E92" s="13"/>
      <c r="F92" s="13"/>
      <c r="G92" s="13"/>
      <c r="H92" s="15"/>
      <c r="I92" s="23"/>
    </row>
    <row r="93" ht="15.75" customHeight="1">
      <c r="A93" s="13"/>
      <c r="B93" s="15"/>
      <c r="C93" s="15"/>
      <c r="D93" s="13"/>
      <c r="E93" s="13"/>
      <c r="F93" s="13"/>
      <c r="G93" s="13"/>
      <c r="H93" s="15"/>
      <c r="I93" s="23"/>
    </row>
    <row r="94" ht="15.75" customHeight="1">
      <c r="A94" s="13"/>
      <c r="B94" s="15"/>
      <c r="C94" s="15"/>
      <c r="D94" s="13"/>
      <c r="E94" s="13"/>
      <c r="F94" s="13"/>
      <c r="G94" s="13"/>
      <c r="H94" s="15"/>
      <c r="I94" s="23"/>
    </row>
    <row r="95" ht="15.75" customHeight="1">
      <c r="A95" s="13"/>
      <c r="B95" s="15"/>
      <c r="C95" s="15"/>
      <c r="D95" s="13"/>
      <c r="E95" s="13"/>
      <c r="F95" s="13"/>
      <c r="G95" s="13"/>
      <c r="H95" s="15"/>
      <c r="I95" s="23"/>
    </row>
    <row r="96" ht="15.75" customHeight="1">
      <c r="A96" s="13"/>
      <c r="B96" s="15"/>
      <c r="C96" s="15"/>
      <c r="D96" s="13"/>
      <c r="E96" s="13"/>
      <c r="F96" s="13"/>
      <c r="G96" s="13"/>
      <c r="H96" s="15"/>
      <c r="I96" s="23"/>
    </row>
    <row r="97" ht="15.75" customHeight="1">
      <c r="A97" s="13"/>
      <c r="B97" s="15"/>
      <c r="C97" s="15"/>
      <c r="D97" s="13"/>
      <c r="E97" s="13"/>
      <c r="F97" s="13"/>
      <c r="G97" s="13"/>
      <c r="H97" s="15"/>
      <c r="I97" s="23"/>
    </row>
    <row r="98" ht="15.75" customHeight="1">
      <c r="A98" s="13"/>
      <c r="B98" s="15"/>
      <c r="C98" s="15"/>
      <c r="D98" s="13"/>
      <c r="E98" s="13"/>
      <c r="F98" s="13"/>
      <c r="G98" s="13"/>
      <c r="H98" s="15"/>
      <c r="I98" s="23"/>
    </row>
    <row r="99" ht="15.75" customHeight="1">
      <c r="A99" s="13"/>
      <c r="B99" s="15"/>
      <c r="C99" s="15"/>
      <c r="D99" s="13"/>
      <c r="E99" s="13"/>
      <c r="F99" s="13"/>
      <c r="G99" s="13"/>
      <c r="H99" s="15"/>
      <c r="I99" s="23"/>
    </row>
    <row r="100" ht="15.75" customHeight="1">
      <c r="A100" s="13"/>
      <c r="B100" s="15"/>
      <c r="C100" s="15"/>
      <c r="D100" s="13"/>
      <c r="E100" s="13"/>
      <c r="F100" s="13"/>
      <c r="G100" s="13"/>
      <c r="H100" s="15"/>
      <c r="I100" s="23"/>
    </row>
    <row r="101" ht="15.75" customHeight="1">
      <c r="A101" s="13"/>
      <c r="B101" s="15"/>
      <c r="C101" s="15"/>
      <c r="D101" s="13"/>
      <c r="E101" s="13"/>
      <c r="F101" s="13"/>
      <c r="G101" s="13"/>
      <c r="H101" s="15"/>
      <c r="I101" s="23"/>
    </row>
    <row r="102" ht="15.75" customHeight="1">
      <c r="A102" s="13"/>
      <c r="B102" s="15"/>
      <c r="C102" s="15"/>
      <c r="D102" s="13"/>
      <c r="E102" s="13"/>
      <c r="F102" s="13"/>
      <c r="G102" s="13"/>
      <c r="H102" s="15"/>
      <c r="I102" s="23"/>
    </row>
    <row r="103" ht="15.75" customHeight="1">
      <c r="A103" s="13"/>
      <c r="B103" s="15"/>
      <c r="C103" s="15"/>
      <c r="D103" s="13"/>
      <c r="E103" s="13"/>
      <c r="F103" s="13"/>
      <c r="G103" s="13"/>
      <c r="H103" s="15"/>
      <c r="I103" s="23"/>
    </row>
    <row r="104" ht="15.75" customHeight="1">
      <c r="A104" s="13"/>
      <c r="B104" s="15"/>
      <c r="C104" s="15"/>
      <c r="D104" s="13"/>
      <c r="E104" s="13"/>
      <c r="F104" s="13"/>
      <c r="G104" s="13"/>
      <c r="H104" s="15"/>
      <c r="I104" s="23"/>
    </row>
    <row r="105" ht="15.75" customHeight="1">
      <c r="A105" s="13"/>
      <c r="B105" s="15"/>
      <c r="C105" s="15"/>
      <c r="D105" s="13"/>
      <c r="E105" s="13"/>
      <c r="F105" s="13"/>
      <c r="G105" s="13"/>
      <c r="H105" s="15"/>
      <c r="I105" s="23"/>
    </row>
    <row r="106" ht="15.75" customHeight="1">
      <c r="A106" s="13"/>
      <c r="B106" s="15"/>
      <c r="C106" s="15"/>
      <c r="D106" s="13"/>
      <c r="E106" s="13"/>
      <c r="F106" s="13"/>
      <c r="G106" s="13"/>
      <c r="H106" s="15"/>
      <c r="I106" s="23"/>
    </row>
    <row r="107" ht="15.75" customHeight="1">
      <c r="A107" s="13"/>
      <c r="B107" s="15"/>
      <c r="C107" s="15"/>
      <c r="D107" s="13"/>
      <c r="E107" s="13"/>
      <c r="F107" s="13"/>
      <c r="G107" s="13"/>
      <c r="H107" s="15"/>
      <c r="I107" s="23"/>
    </row>
    <row r="108" ht="15.75" customHeight="1">
      <c r="A108" s="13"/>
      <c r="B108" s="15"/>
      <c r="C108" s="15"/>
      <c r="D108" s="13"/>
      <c r="E108" s="13"/>
      <c r="F108" s="13"/>
      <c r="G108" s="13"/>
      <c r="H108" s="15"/>
      <c r="I108" s="23"/>
    </row>
    <row r="109" ht="15.75" customHeight="1">
      <c r="A109" s="13"/>
      <c r="B109" s="15"/>
      <c r="C109" s="15"/>
      <c r="D109" s="13"/>
      <c r="E109" s="13"/>
      <c r="F109" s="13"/>
      <c r="G109" s="13"/>
      <c r="H109" s="15"/>
      <c r="I109" s="23"/>
    </row>
    <row r="110" ht="15.75" customHeight="1">
      <c r="A110" s="13"/>
      <c r="B110" s="15"/>
      <c r="C110" s="15"/>
      <c r="D110" s="13"/>
      <c r="E110" s="13"/>
      <c r="F110" s="13"/>
      <c r="G110" s="13"/>
      <c r="H110" s="15"/>
      <c r="I110" s="23"/>
    </row>
    <row r="111" ht="15.75" customHeight="1">
      <c r="A111" s="13"/>
      <c r="B111" s="15"/>
      <c r="C111" s="15"/>
      <c r="D111" s="13"/>
      <c r="E111" s="13"/>
      <c r="F111" s="13"/>
      <c r="G111" s="13"/>
      <c r="H111" s="15"/>
      <c r="I111" s="23"/>
    </row>
    <row r="112" ht="15.75" customHeight="1">
      <c r="A112" s="13"/>
      <c r="B112" s="15"/>
      <c r="C112" s="15"/>
      <c r="D112" s="13"/>
      <c r="E112" s="13"/>
      <c r="F112" s="13"/>
      <c r="G112" s="13"/>
      <c r="H112" s="15"/>
      <c r="I112" s="23"/>
    </row>
    <row r="113" ht="15.75" customHeight="1">
      <c r="A113" s="13"/>
      <c r="B113" s="15"/>
      <c r="C113" s="15"/>
      <c r="D113" s="13"/>
      <c r="E113" s="13"/>
      <c r="F113" s="13"/>
      <c r="G113" s="13"/>
      <c r="H113" s="15"/>
      <c r="I113" s="23"/>
    </row>
    <row r="114" ht="15.75" customHeight="1">
      <c r="A114" s="13"/>
      <c r="B114" s="15"/>
      <c r="C114" s="15"/>
      <c r="D114" s="13"/>
      <c r="E114" s="13"/>
      <c r="F114" s="13"/>
      <c r="G114" s="13"/>
      <c r="H114" s="15"/>
      <c r="I114" s="23"/>
    </row>
    <row r="115" ht="15.75" customHeight="1">
      <c r="A115" s="13"/>
      <c r="B115" s="15"/>
      <c r="C115" s="15"/>
      <c r="D115" s="13"/>
      <c r="E115" s="13"/>
      <c r="F115" s="13"/>
      <c r="G115" s="13"/>
      <c r="H115" s="15"/>
      <c r="I115" s="23"/>
    </row>
    <row r="116" ht="15.75" customHeight="1">
      <c r="A116" s="13"/>
      <c r="B116" s="15"/>
      <c r="C116" s="15"/>
      <c r="D116" s="13"/>
      <c r="E116" s="13"/>
      <c r="F116" s="13"/>
      <c r="G116" s="13"/>
      <c r="H116" s="15"/>
      <c r="I116" s="23"/>
    </row>
    <row r="117" ht="15.75" customHeight="1">
      <c r="A117" s="13"/>
      <c r="B117" s="15"/>
      <c r="C117" s="15"/>
      <c r="D117" s="13"/>
      <c r="E117" s="13"/>
      <c r="F117" s="13"/>
      <c r="G117" s="13"/>
      <c r="H117" s="15"/>
      <c r="I117" s="23"/>
    </row>
    <row r="118" ht="15.75" customHeight="1">
      <c r="A118" s="13"/>
      <c r="B118" s="15"/>
      <c r="C118" s="15"/>
      <c r="D118" s="13"/>
      <c r="E118" s="13"/>
      <c r="F118" s="13"/>
      <c r="G118" s="13"/>
      <c r="H118" s="15"/>
      <c r="I118" s="23"/>
    </row>
    <row r="119" ht="15.75" customHeight="1">
      <c r="A119" s="13"/>
      <c r="B119" s="15"/>
      <c r="C119" s="15"/>
      <c r="D119" s="13"/>
      <c r="E119" s="13"/>
      <c r="F119" s="13"/>
      <c r="G119" s="13"/>
      <c r="H119" s="15"/>
      <c r="I119" s="23"/>
    </row>
    <row r="120" ht="15.75" customHeight="1">
      <c r="A120" s="13"/>
      <c r="B120" s="15"/>
      <c r="C120" s="15"/>
      <c r="D120" s="13"/>
      <c r="E120" s="13"/>
      <c r="F120" s="13"/>
      <c r="G120" s="13"/>
      <c r="H120" s="15"/>
      <c r="I120" s="23"/>
    </row>
    <row r="121" ht="15.75" customHeight="1">
      <c r="A121" s="13"/>
      <c r="B121" s="15"/>
      <c r="C121" s="15"/>
      <c r="D121" s="13"/>
      <c r="E121" s="13"/>
      <c r="F121" s="13"/>
      <c r="G121" s="13"/>
      <c r="H121" s="15"/>
      <c r="I121" s="23"/>
    </row>
    <row r="122" ht="15.75" customHeight="1">
      <c r="A122" s="13"/>
      <c r="B122" s="15"/>
      <c r="C122" s="15"/>
      <c r="D122" s="13"/>
      <c r="E122" s="13"/>
      <c r="F122" s="13"/>
      <c r="G122" s="13"/>
      <c r="H122" s="15"/>
      <c r="I122" s="23"/>
    </row>
    <row r="123" ht="15.75" customHeight="1">
      <c r="A123" s="13"/>
      <c r="B123" s="15"/>
      <c r="C123" s="15"/>
      <c r="D123" s="13"/>
      <c r="E123" s="13"/>
      <c r="F123" s="13"/>
      <c r="G123" s="13"/>
      <c r="H123" s="15"/>
      <c r="I123" s="23"/>
    </row>
    <row r="124" ht="15.75" customHeight="1">
      <c r="A124" s="13"/>
      <c r="B124" s="15"/>
      <c r="C124" s="15"/>
      <c r="D124" s="13"/>
      <c r="E124" s="13"/>
      <c r="F124" s="13"/>
      <c r="G124" s="13"/>
      <c r="H124" s="15"/>
      <c r="I124" s="23"/>
    </row>
    <row r="125" ht="15.75" customHeight="1">
      <c r="A125" s="13"/>
      <c r="B125" s="15"/>
      <c r="C125" s="15"/>
      <c r="D125" s="13"/>
      <c r="E125" s="13"/>
      <c r="F125" s="13"/>
      <c r="G125" s="13"/>
      <c r="H125" s="15"/>
      <c r="I125" s="23"/>
    </row>
    <row r="126" ht="15.75" customHeight="1">
      <c r="A126" s="13"/>
      <c r="B126" s="15"/>
      <c r="C126" s="15"/>
      <c r="D126" s="13"/>
      <c r="E126" s="13"/>
      <c r="F126" s="13"/>
      <c r="G126" s="13"/>
      <c r="H126" s="15"/>
      <c r="I126" s="23"/>
    </row>
    <row r="127" ht="15.75" customHeight="1">
      <c r="A127" s="13"/>
      <c r="B127" s="15"/>
      <c r="C127" s="15"/>
      <c r="D127" s="13"/>
      <c r="E127" s="13"/>
      <c r="F127" s="13"/>
      <c r="G127" s="13"/>
      <c r="H127" s="15"/>
      <c r="I127" s="23"/>
    </row>
    <row r="128" ht="15.75" customHeight="1">
      <c r="A128" s="13"/>
      <c r="B128" s="19"/>
      <c r="C128" s="19"/>
      <c r="D128" s="18"/>
      <c r="E128" s="18"/>
      <c r="F128" s="18"/>
      <c r="G128" s="18"/>
      <c r="H128" s="19"/>
      <c r="I128" s="23"/>
    </row>
    <row r="129" ht="15.75" customHeight="1">
      <c r="A129" s="13"/>
      <c r="B129" s="19"/>
      <c r="C129" s="19"/>
      <c r="D129" s="18"/>
      <c r="E129" s="18"/>
      <c r="F129" s="18"/>
      <c r="G129" s="18"/>
      <c r="H129" s="19"/>
      <c r="I129" s="23"/>
    </row>
    <row r="130" ht="15.75" customHeight="1">
      <c r="A130" s="13"/>
      <c r="B130" s="19"/>
      <c r="C130" s="19"/>
      <c r="D130" s="18"/>
      <c r="E130" s="18"/>
      <c r="F130" s="18"/>
      <c r="G130" s="18"/>
      <c r="H130" s="19"/>
      <c r="I130" s="23"/>
    </row>
    <row r="131" ht="15.75" customHeight="1">
      <c r="A131" s="13"/>
      <c r="B131" s="19"/>
      <c r="C131" s="19"/>
      <c r="D131" s="18"/>
      <c r="E131" s="18"/>
      <c r="F131" s="18"/>
      <c r="G131" s="18"/>
      <c r="H131" s="19"/>
      <c r="I131" s="23"/>
    </row>
    <row r="132" ht="15.75" customHeight="1">
      <c r="A132" s="13"/>
      <c r="B132" s="19"/>
      <c r="C132" s="19"/>
      <c r="D132" s="18"/>
      <c r="E132" s="18"/>
      <c r="F132" s="18"/>
      <c r="G132" s="18"/>
      <c r="H132" s="19"/>
      <c r="I132" s="23"/>
    </row>
    <row r="133" ht="15.75" customHeight="1">
      <c r="A133" s="13"/>
      <c r="B133" s="19"/>
      <c r="C133" s="19"/>
      <c r="D133" s="18"/>
      <c r="E133" s="18"/>
      <c r="F133" s="18"/>
      <c r="G133" s="18"/>
      <c r="H133" s="19"/>
      <c r="I133" s="23"/>
    </row>
    <row r="134" ht="15.75" customHeight="1">
      <c r="A134" s="13"/>
      <c r="B134" s="19"/>
      <c r="C134" s="19"/>
      <c r="D134" s="18"/>
      <c r="E134" s="18"/>
      <c r="F134" s="18"/>
      <c r="G134" s="18"/>
      <c r="H134" s="19"/>
      <c r="I134" s="23"/>
    </row>
    <row r="135" ht="15.75" customHeight="1">
      <c r="A135" s="13"/>
      <c r="B135" s="19"/>
      <c r="C135" s="19"/>
      <c r="D135" s="18"/>
      <c r="E135" s="18"/>
      <c r="F135" s="18"/>
      <c r="G135" s="18"/>
      <c r="H135" s="19"/>
      <c r="I135" s="23"/>
    </row>
    <row r="136" ht="15.75" customHeight="1">
      <c r="A136" s="13"/>
      <c r="B136" s="19"/>
      <c r="C136" s="19"/>
      <c r="D136" s="18"/>
      <c r="E136" s="18"/>
      <c r="F136" s="18"/>
      <c r="G136" s="18"/>
      <c r="H136" s="19"/>
      <c r="I136" s="23"/>
    </row>
    <row r="137" ht="15.75" customHeight="1">
      <c r="A137" s="13"/>
      <c r="B137" s="19"/>
      <c r="C137" s="19"/>
      <c r="D137" s="18"/>
      <c r="E137" s="18"/>
      <c r="F137" s="18"/>
      <c r="G137" s="18"/>
      <c r="H137" s="19"/>
      <c r="I137" s="23"/>
    </row>
    <row r="138" ht="15.75" customHeight="1">
      <c r="A138" s="13"/>
      <c r="B138" s="19"/>
      <c r="C138" s="19"/>
      <c r="D138" s="18"/>
      <c r="E138" s="18"/>
      <c r="F138" s="18"/>
      <c r="G138" s="18"/>
      <c r="H138" s="19"/>
      <c r="I138" s="23"/>
    </row>
    <row r="139" ht="15.75" customHeight="1">
      <c r="A139" s="13"/>
      <c r="B139" s="19"/>
      <c r="C139" s="19"/>
      <c r="D139" s="18"/>
      <c r="E139" s="18"/>
      <c r="F139" s="18"/>
      <c r="G139" s="18"/>
      <c r="H139" s="19"/>
      <c r="I139" s="23"/>
    </row>
    <row r="140" ht="15.75" customHeight="1">
      <c r="A140" s="13"/>
      <c r="B140" s="19"/>
      <c r="C140" s="19"/>
      <c r="D140" s="18"/>
      <c r="E140" s="18"/>
      <c r="F140" s="18"/>
      <c r="G140" s="18"/>
      <c r="H140" s="19"/>
      <c r="I140" s="23"/>
    </row>
    <row r="141" ht="15.75" customHeight="1">
      <c r="A141" s="13"/>
      <c r="B141" s="19"/>
      <c r="C141" s="19"/>
      <c r="D141" s="18"/>
      <c r="E141" s="18"/>
      <c r="F141" s="18"/>
      <c r="G141" s="18"/>
      <c r="H141" s="19"/>
      <c r="I141" s="23"/>
    </row>
    <row r="142" ht="15.75" customHeight="1">
      <c r="A142" s="13"/>
      <c r="B142" s="19"/>
      <c r="C142" s="19"/>
      <c r="D142" s="18"/>
      <c r="E142" s="18"/>
      <c r="F142" s="18"/>
      <c r="G142" s="18"/>
      <c r="H142" s="19"/>
      <c r="I142" s="23"/>
    </row>
    <row r="143" ht="15.75" customHeight="1">
      <c r="A143" s="13"/>
      <c r="B143" s="19"/>
      <c r="C143" s="19"/>
      <c r="D143" s="18"/>
      <c r="E143" s="18"/>
      <c r="F143" s="18"/>
      <c r="G143" s="18"/>
      <c r="H143" s="19"/>
      <c r="I143" s="23"/>
    </row>
    <row r="144" ht="15.75" customHeight="1">
      <c r="A144" s="13"/>
      <c r="B144" s="19"/>
      <c r="C144" s="19"/>
      <c r="D144" s="18"/>
      <c r="E144" s="18"/>
      <c r="F144" s="18"/>
      <c r="G144" s="18"/>
      <c r="H144" s="19"/>
      <c r="I144" s="23"/>
    </row>
    <row r="145" ht="15.75" customHeight="1">
      <c r="A145" s="13"/>
      <c r="B145" s="19"/>
      <c r="C145" s="19"/>
      <c r="D145" s="18"/>
      <c r="E145" s="18"/>
      <c r="F145" s="18"/>
      <c r="G145" s="18"/>
      <c r="H145" s="19"/>
      <c r="I145" s="23"/>
    </row>
    <row r="146" ht="15.75" customHeight="1">
      <c r="A146" s="13"/>
      <c r="B146" s="19"/>
      <c r="C146" s="19"/>
      <c r="D146" s="18"/>
      <c r="E146" s="18"/>
      <c r="F146" s="18"/>
      <c r="G146" s="18"/>
      <c r="H146" s="19"/>
      <c r="I146" s="23"/>
    </row>
    <row r="147" ht="15.75" customHeight="1">
      <c r="A147" s="13"/>
      <c r="B147" s="19"/>
      <c r="C147" s="19"/>
      <c r="D147" s="18"/>
      <c r="E147" s="18"/>
      <c r="F147" s="18"/>
      <c r="G147" s="18"/>
      <c r="H147" s="19"/>
      <c r="I147" s="23"/>
    </row>
    <row r="148" ht="15.75" customHeight="1">
      <c r="A148" s="13"/>
      <c r="B148" s="19"/>
      <c r="C148" s="19"/>
      <c r="D148" s="18"/>
      <c r="E148" s="18"/>
      <c r="F148" s="18"/>
      <c r="G148" s="18"/>
      <c r="H148" s="19"/>
      <c r="I148" s="23"/>
    </row>
    <row r="149" ht="15.75" customHeight="1">
      <c r="A149" s="13"/>
      <c r="B149" s="19"/>
      <c r="C149" s="19"/>
      <c r="D149" s="18"/>
      <c r="E149" s="18"/>
      <c r="F149" s="18"/>
      <c r="G149" s="18"/>
      <c r="H149" s="19"/>
      <c r="I149" s="23"/>
    </row>
    <row r="150" ht="15.75" customHeight="1">
      <c r="A150" s="13"/>
      <c r="B150" s="19"/>
      <c r="C150" s="19"/>
      <c r="D150" s="18"/>
      <c r="E150" s="18"/>
      <c r="F150" s="18"/>
      <c r="G150" s="18"/>
      <c r="H150" s="19"/>
      <c r="I150" s="23"/>
    </row>
    <row r="151" ht="15.75" customHeight="1">
      <c r="A151" s="13"/>
      <c r="B151" s="19"/>
      <c r="C151" s="19"/>
      <c r="D151" s="18"/>
      <c r="E151" s="18"/>
      <c r="F151" s="18"/>
      <c r="G151" s="18"/>
      <c r="H151" s="19"/>
      <c r="I151" s="23"/>
    </row>
    <row r="152" ht="15.75" customHeight="1">
      <c r="A152" s="13"/>
      <c r="B152" s="19"/>
      <c r="C152" s="19"/>
      <c r="D152" s="18"/>
      <c r="E152" s="18"/>
      <c r="F152" s="18"/>
      <c r="G152" s="18"/>
      <c r="H152" s="19"/>
      <c r="I152" s="23"/>
    </row>
    <row r="153" ht="15.75" customHeight="1">
      <c r="A153" s="13"/>
      <c r="B153" s="19"/>
      <c r="C153" s="19"/>
      <c r="D153" s="18"/>
      <c r="E153" s="18"/>
      <c r="F153" s="18"/>
      <c r="G153" s="18"/>
      <c r="H153" s="19"/>
      <c r="I153" s="23"/>
    </row>
    <row r="154" ht="15.75" customHeight="1">
      <c r="A154" s="13"/>
      <c r="B154" s="19"/>
      <c r="C154" s="19"/>
      <c r="D154" s="18"/>
      <c r="E154" s="18"/>
      <c r="F154" s="18"/>
      <c r="G154" s="18"/>
      <c r="H154" s="19"/>
      <c r="I154" s="23"/>
    </row>
    <row r="155" ht="15.75" customHeight="1">
      <c r="A155" s="13"/>
      <c r="B155" s="19"/>
      <c r="C155" s="19"/>
      <c r="D155" s="18"/>
      <c r="E155" s="18"/>
      <c r="F155" s="18"/>
      <c r="G155" s="18"/>
      <c r="H155" s="19"/>
      <c r="I155" s="23"/>
    </row>
    <row r="156" ht="15.75" customHeight="1">
      <c r="A156" s="13"/>
    </row>
    <row r="157" ht="15.75" customHeight="1">
      <c r="A157" s="13"/>
    </row>
    <row r="158" ht="15.75" customHeight="1">
      <c r="A158" s="13"/>
    </row>
    <row r="159" ht="15.75" customHeight="1">
      <c r="A159" s="13"/>
    </row>
    <row r="160" ht="15.75" customHeight="1">
      <c r="A160" s="13"/>
    </row>
    <row r="161" ht="15.75" customHeight="1">
      <c r="A161" s="13"/>
    </row>
    <row r="162" ht="15.75" customHeight="1">
      <c r="A162" s="13"/>
    </row>
    <row r="163" ht="15.75" customHeight="1">
      <c r="A163" s="13"/>
    </row>
    <row r="164" ht="15.75" customHeight="1">
      <c r="A164" s="13"/>
    </row>
    <row r="165" ht="15.75" customHeight="1">
      <c r="A165" s="13"/>
    </row>
    <row r="166" ht="15.75" customHeight="1">
      <c r="A166" s="13"/>
    </row>
    <row r="167" ht="15.75" customHeight="1">
      <c r="A167" s="13"/>
    </row>
    <row r="168" ht="15.75" customHeight="1">
      <c r="A168" s="13"/>
    </row>
    <row r="169" ht="15.75" customHeight="1">
      <c r="A169" s="13"/>
    </row>
    <row r="170" ht="15.75" customHeight="1">
      <c r="A170" s="13"/>
    </row>
    <row r="171" ht="15.75" customHeight="1">
      <c r="A171" s="13"/>
    </row>
    <row r="172" ht="15.75" customHeight="1">
      <c r="A172" s="13"/>
    </row>
    <row r="173" ht="15.75" customHeight="1">
      <c r="A173" s="13"/>
    </row>
    <row r="174" ht="15.75" customHeight="1">
      <c r="A174" s="13"/>
    </row>
    <row r="175" ht="15.75" customHeight="1">
      <c r="A175" s="13"/>
    </row>
    <row r="176" ht="15.75" customHeight="1">
      <c r="A176" s="13"/>
    </row>
    <row r="177" ht="15.75" customHeight="1">
      <c r="A177" s="13"/>
    </row>
    <row r="178" ht="15.75" customHeight="1">
      <c r="A178" s="13"/>
    </row>
    <row r="179" ht="15.75" customHeight="1">
      <c r="A179" s="13"/>
    </row>
    <row r="180" ht="15.75" customHeight="1">
      <c r="A180" s="13"/>
    </row>
    <row r="181" ht="15.75" customHeight="1">
      <c r="A181" s="13"/>
    </row>
    <row r="182" ht="15.75" customHeight="1">
      <c r="A182" s="13"/>
    </row>
    <row r="183" ht="15.75" customHeight="1">
      <c r="A183" s="13"/>
    </row>
    <row r="184" ht="15.75" customHeight="1">
      <c r="A184" s="13"/>
    </row>
    <row r="185" ht="15.75" customHeight="1">
      <c r="A185" s="13"/>
    </row>
    <row r="186" ht="15.75" customHeight="1">
      <c r="A186" s="13"/>
    </row>
    <row r="187" ht="15.75" customHeight="1">
      <c r="A187" s="13"/>
    </row>
    <row r="188" ht="15.75" customHeight="1">
      <c r="A188" s="13"/>
    </row>
    <row r="189" ht="15.75" customHeight="1">
      <c r="A189" s="13"/>
    </row>
    <row r="190" ht="15.75" customHeight="1">
      <c r="A190" s="13"/>
    </row>
    <row r="191" ht="15.75" customHeight="1">
      <c r="A191" s="13"/>
    </row>
    <row r="192" ht="15.75" customHeight="1">
      <c r="A192" s="13"/>
    </row>
    <row r="193" ht="15.75" customHeight="1">
      <c r="A193" s="13"/>
    </row>
    <row r="194" ht="15.75" customHeight="1">
      <c r="A194" s="13"/>
    </row>
    <row r="195" ht="15.75" customHeight="1">
      <c r="A195" s="13"/>
    </row>
    <row r="196" ht="15.75" customHeight="1">
      <c r="A196" s="13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4:I4"/>
  </mergeCells>
  <conditionalFormatting sqref="A18:A400">
    <cfRule type="timePeriod" dxfId="4" priority="1" timePeriod="today"/>
  </conditionalFormatting>
  <conditionalFormatting sqref="A6:A200">
    <cfRule type="timePeriod" dxfId="5" priority="2" timePeriod="today"/>
  </conditionalFormatting>
  <dataValidations>
    <dataValidation type="custom" allowBlank="1" showDropDown="1" sqref="A6:A196">
      <formula1>OR(NOT(ISERROR(DATEVALUE(A6))), AND(ISNUMBER(A6), LEFT(CELL("format", A6))="D"))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18.0"/>
    <col customWidth="1" min="4" max="4" width="26.0"/>
    <col customWidth="1" min="5" max="5" width="16.0"/>
    <col customWidth="1" min="6" max="6" width="18.0"/>
    <col customWidth="1" min="7" max="7" width="24.0"/>
    <col customWidth="1" min="8" max="8" width="12.0"/>
    <col customWidth="1" min="9" max="26" width="8.71"/>
  </cols>
  <sheetData>
    <row r="1" ht="27.75" customHeight="1">
      <c r="A1" s="1" t="s">
        <v>59</v>
      </c>
      <c r="B1" s="2"/>
      <c r="C1" s="2"/>
      <c r="D1" s="2"/>
      <c r="E1" s="2"/>
      <c r="F1" s="2"/>
      <c r="G1" s="2"/>
      <c r="H1" s="3"/>
    </row>
    <row r="2" ht="19.5" customHeight="1">
      <c r="A2" s="5" t="s">
        <v>60</v>
      </c>
      <c r="B2" s="2"/>
      <c r="C2" s="2"/>
      <c r="D2" s="2"/>
      <c r="E2" s="2"/>
      <c r="F2" s="2"/>
      <c r="G2" s="2"/>
      <c r="H2" s="3"/>
    </row>
    <row r="4">
      <c r="A4" s="6" t="s">
        <v>61</v>
      </c>
    </row>
    <row r="5">
      <c r="A5" s="7" t="s">
        <v>3</v>
      </c>
      <c r="B5" s="7" t="s">
        <v>11</v>
      </c>
      <c r="C5" s="7" t="s">
        <v>62</v>
      </c>
      <c r="D5" s="7" t="s">
        <v>63</v>
      </c>
      <c r="E5" s="7" t="s">
        <v>64</v>
      </c>
      <c r="F5" s="7" t="s">
        <v>65</v>
      </c>
      <c r="G5" s="7" t="s">
        <v>66</v>
      </c>
      <c r="H5" s="7" t="s">
        <v>67</v>
      </c>
    </row>
    <row r="6">
      <c r="A6" s="19"/>
      <c r="B6" s="24" t="s">
        <v>15</v>
      </c>
      <c r="C6" s="18"/>
      <c r="D6" s="19"/>
      <c r="E6" s="18"/>
      <c r="F6" s="19"/>
      <c r="G6" s="19"/>
      <c r="H6" s="18"/>
    </row>
    <row r="7">
      <c r="A7" s="19"/>
      <c r="B7" s="19" t="s">
        <v>17</v>
      </c>
      <c r="C7" s="18"/>
      <c r="D7" s="19"/>
      <c r="E7" s="18"/>
      <c r="F7" s="19"/>
      <c r="G7" s="19"/>
      <c r="H7" s="18"/>
    </row>
    <row r="8">
      <c r="A8" s="19"/>
      <c r="B8" s="24" t="s">
        <v>19</v>
      </c>
      <c r="C8" s="18"/>
      <c r="D8" s="19"/>
      <c r="E8" s="18"/>
      <c r="F8" s="19"/>
      <c r="G8" s="19"/>
      <c r="H8" s="18"/>
    </row>
    <row r="9">
      <c r="A9" s="19"/>
      <c r="B9" s="24" t="s">
        <v>21</v>
      </c>
      <c r="C9" s="18"/>
      <c r="D9" s="19"/>
      <c r="E9" s="18"/>
      <c r="F9" s="19"/>
      <c r="G9" s="19"/>
      <c r="H9" s="18"/>
    </row>
    <row r="10">
      <c r="A10" s="19"/>
      <c r="B10" s="24" t="s">
        <v>23</v>
      </c>
      <c r="C10" s="18"/>
      <c r="D10" s="19"/>
      <c r="E10" s="18"/>
      <c r="F10" s="19"/>
      <c r="G10" s="19"/>
      <c r="H10" s="18"/>
    </row>
    <row r="11">
      <c r="A11" s="19"/>
      <c r="B11" s="24" t="s">
        <v>25</v>
      </c>
      <c r="C11" s="18"/>
      <c r="D11" s="19"/>
      <c r="E11" s="18"/>
      <c r="F11" s="19"/>
      <c r="G11" s="19"/>
      <c r="H11" s="18"/>
    </row>
    <row r="12">
      <c r="A12" s="19"/>
      <c r="B12" s="24" t="s">
        <v>26</v>
      </c>
      <c r="C12" s="18"/>
      <c r="D12" s="19"/>
      <c r="E12" s="18"/>
      <c r="F12" s="19"/>
      <c r="G12" s="19"/>
      <c r="H12" s="18"/>
    </row>
    <row r="13">
      <c r="A13" s="19"/>
      <c r="B13" s="24" t="s">
        <v>27</v>
      </c>
      <c r="C13" s="18"/>
      <c r="D13" s="19"/>
      <c r="E13" s="18"/>
      <c r="F13" s="19"/>
      <c r="G13" s="19"/>
      <c r="H13" s="18"/>
    </row>
    <row r="14">
      <c r="A14" s="19"/>
      <c r="B14" s="24" t="s">
        <v>28</v>
      </c>
      <c r="C14" s="18"/>
      <c r="D14" s="19"/>
      <c r="E14" s="18"/>
      <c r="F14" s="19"/>
      <c r="G14" s="19"/>
      <c r="H14" s="18"/>
    </row>
    <row r="15">
      <c r="A15" s="19"/>
      <c r="B15" s="24" t="s">
        <v>30</v>
      </c>
      <c r="C15" s="18"/>
      <c r="D15" s="19"/>
      <c r="E15" s="18"/>
      <c r="F15" s="19"/>
      <c r="G15" s="19"/>
      <c r="H15" s="18"/>
    </row>
    <row r="16">
      <c r="A16" s="19"/>
      <c r="B16" s="24" t="s">
        <v>31</v>
      </c>
      <c r="C16" s="18"/>
      <c r="D16" s="19"/>
      <c r="E16" s="18"/>
      <c r="F16" s="19"/>
      <c r="G16" s="19"/>
      <c r="H16" s="18"/>
    </row>
    <row r="17">
      <c r="A17" s="18"/>
      <c r="B17" s="24" t="s">
        <v>33</v>
      </c>
      <c r="C17" s="18"/>
      <c r="D17" s="19"/>
      <c r="E17" s="18"/>
      <c r="F17" s="19"/>
      <c r="G17" s="19"/>
      <c r="H17" s="18"/>
    </row>
    <row r="18">
      <c r="A18" s="25"/>
      <c r="B18" s="24" t="s">
        <v>34</v>
      </c>
      <c r="C18" s="18"/>
      <c r="D18" s="19"/>
      <c r="E18" s="18"/>
      <c r="F18" s="19"/>
      <c r="G18" s="19"/>
      <c r="H18" s="18"/>
    </row>
    <row r="19">
      <c r="A19" s="18"/>
      <c r="B19" s="24" t="s">
        <v>35</v>
      </c>
      <c r="C19" s="18"/>
      <c r="D19" s="19"/>
      <c r="E19" s="18"/>
      <c r="F19" s="26"/>
      <c r="G19" s="19"/>
      <c r="H19" s="18"/>
    </row>
    <row r="20">
      <c r="A20" s="18"/>
      <c r="B20" s="24" t="s">
        <v>36</v>
      </c>
      <c r="C20" s="18"/>
      <c r="D20" s="19"/>
      <c r="E20" s="18"/>
      <c r="F20" s="26"/>
      <c r="G20" s="19"/>
      <c r="H20" s="18"/>
    </row>
    <row r="21" ht="15.75" customHeight="1">
      <c r="A21" s="18"/>
      <c r="B21" s="24" t="s">
        <v>37</v>
      </c>
      <c r="C21" s="18"/>
      <c r="D21" s="19"/>
      <c r="E21" s="18"/>
      <c r="F21" s="26"/>
      <c r="G21" s="19"/>
      <c r="H21" s="18"/>
    </row>
    <row r="22" ht="15.75" customHeight="1">
      <c r="A22" s="18"/>
      <c r="B22" s="24" t="s">
        <v>38</v>
      </c>
      <c r="C22" s="18"/>
      <c r="D22" s="19"/>
      <c r="E22" s="18"/>
      <c r="F22" s="26"/>
      <c r="G22" s="19"/>
      <c r="H22" s="18"/>
    </row>
    <row r="23" ht="15.75" customHeight="1">
      <c r="A23" s="18"/>
      <c r="B23" s="24" t="s">
        <v>39</v>
      </c>
      <c r="C23" s="18"/>
      <c r="D23" s="19"/>
      <c r="E23" s="18"/>
      <c r="F23" s="26"/>
      <c r="G23" s="19"/>
      <c r="H23" s="18"/>
    </row>
    <row r="24" ht="15.75" customHeight="1">
      <c r="A24" s="18"/>
      <c r="B24" s="24" t="s">
        <v>41</v>
      </c>
      <c r="C24" s="18"/>
      <c r="D24" s="19"/>
      <c r="E24" s="18"/>
      <c r="F24" s="26"/>
      <c r="G24" s="19"/>
      <c r="H24" s="18"/>
    </row>
    <row r="25" ht="15.75" customHeight="1">
      <c r="A25" s="18"/>
      <c r="B25" s="24" t="s">
        <v>43</v>
      </c>
      <c r="C25" s="18"/>
      <c r="D25" s="19"/>
      <c r="E25" s="18"/>
      <c r="F25" s="26"/>
      <c r="G25" s="19"/>
      <c r="H25" s="18"/>
    </row>
    <row r="26" ht="15.75" customHeight="1">
      <c r="A26" s="18"/>
      <c r="B26" s="24" t="s">
        <v>44</v>
      </c>
      <c r="C26" s="18"/>
      <c r="D26" s="19"/>
      <c r="E26" s="18"/>
      <c r="F26" s="26"/>
      <c r="G26" s="19"/>
      <c r="H26" s="18"/>
    </row>
    <row r="27" ht="15.75" customHeight="1">
      <c r="A27" s="18"/>
      <c r="B27" s="24" t="s">
        <v>45</v>
      </c>
      <c r="C27" s="18"/>
      <c r="D27" s="19"/>
      <c r="E27" s="18"/>
      <c r="F27" s="26"/>
      <c r="G27" s="19"/>
      <c r="H27" s="18"/>
    </row>
    <row r="28" ht="15.75" customHeight="1">
      <c r="A28" s="18"/>
      <c r="B28" s="24" t="s">
        <v>46</v>
      </c>
      <c r="C28" s="18"/>
      <c r="D28" s="19"/>
      <c r="E28" s="18"/>
      <c r="F28" s="26"/>
      <c r="G28" s="19"/>
      <c r="H28" s="18"/>
    </row>
    <row r="29" ht="15.75" customHeight="1">
      <c r="A29" s="27"/>
      <c r="B29" s="28"/>
      <c r="C29" s="27"/>
      <c r="D29" s="28"/>
      <c r="E29" s="27"/>
      <c r="F29" s="29"/>
      <c r="G29" s="28"/>
      <c r="H29" s="27"/>
    </row>
    <row r="30" ht="15.75" customHeight="1">
      <c r="A30" s="27"/>
      <c r="B30" s="28"/>
      <c r="C30" s="27"/>
      <c r="D30" s="28"/>
      <c r="E30" s="27"/>
      <c r="F30" s="29"/>
      <c r="G30" s="28"/>
      <c r="H30" s="27"/>
    </row>
    <row r="31" ht="15.75" customHeight="1">
      <c r="A31" s="27"/>
      <c r="B31" s="28"/>
      <c r="C31" s="27"/>
      <c r="D31" s="28"/>
      <c r="E31" s="27"/>
      <c r="F31" s="29"/>
      <c r="G31" s="28"/>
      <c r="H31" s="27"/>
    </row>
    <row r="32" ht="15.75" customHeight="1">
      <c r="A32" s="27"/>
      <c r="B32" s="28"/>
      <c r="C32" s="27"/>
      <c r="D32" s="28"/>
      <c r="E32" s="27"/>
      <c r="F32" s="29"/>
      <c r="G32" s="28"/>
      <c r="H32" s="27"/>
    </row>
    <row r="33" ht="15.75" customHeight="1">
      <c r="A33" s="27"/>
      <c r="B33" s="28"/>
      <c r="C33" s="27"/>
      <c r="D33" s="28"/>
      <c r="E33" s="27"/>
      <c r="F33" s="29"/>
      <c r="G33" s="28"/>
      <c r="H33" s="27"/>
    </row>
    <row r="34" ht="15.75" customHeight="1">
      <c r="A34" s="27"/>
      <c r="B34" s="28"/>
      <c r="C34" s="27"/>
      <c r="D34" s="28"/>
      <c r="E34" s="27"/>
      <c r="F34" s="29"/>
      <c r="G34" s="28"/>
      <c r="H34" s="27"/>
    </row>
    <row r="35" ht="15.75" customHeight="1">
      <c r="A35" s="27"/>
      <c r="B35" s="28"/>
      <c r="C35" s="27"/>
      <c r="D35" s="28"/>
      <c r="E35" s="27"/>
      <c r="F35" s="29"/>
      <c r="G35" s="28"/>
      <c r="H35" s="27"/>
    </row>
    <row r="36" ht="15.75" customHeight="1">
      <c r="A36" s="27"/>
      <c r="B36" s="28"/>
      <c r="C36" s="27"/>
      <c r="D36" s="28"/>
      <c r="E36" s="27"/>
      <c r="F36" s="29"/>
      <c r="G36" s="28"/>
      <c r="H36" s="27"/>
    </row>
    <row r="37" ht="15.75" customHeight="1">
      <c r="A37" s="27"/>
      <c r="B37" s="28"/>
      <c r="C37" s="27"/>
      <c r="D37" s="28"/>
      <c r="E37" s="27"/>
      <c r="F37" s="29"/>
      <c r="G37" s="28"/>
      <c r="H37" s="27"/>
    </row>
    <row r="38" ht="15.75" customHeight="1">
      <c r="A38" s="27"/>
      <c r="B38" s="28"/>
      <c r="C38" s="27"/>
      <c r="D38" s="28"/>
      <c r="E38" s="27"/>
      <c r="F38" s="29"/>
      <c r="G38" s="28"/>
      <c r="H38" s="27"/>
    </row>
    <row r="39" ht="15.75" customHeight="1">
      <c r="A39" s="27"/>
      <c r="B39" s="28"/>
      <c r="C39" s="27"/>
      <c r="D39" s="28"/>
      <c r="E39" s="27"/>
      <c r="F39" s="29"/>
      <c r="G39" s="28"/>
      <c r="H39" s="27"/>
    </row>
    <row r="40" ht="15.75" customHeight="1">
      <c r="A40" s="27"/>
      <c r="B40" s="28"/>
      <c r="C40" s="27"/>
      <c r="D40" s="28"/>
      <c r="E40" s="27"/>
      <c r="F40" s="29"/>
      <c r="G40" s="28"/>
      <c r="H40" s="27"/>
    </row>
    <row r="41" ht="15.75" customHeight="1">
      <c r="A41" s="27"/>
      <c r="B41" s="28"/>
      <c r="C41" s="27"/>
      <c r="D41" s="28"/>
      <c r="E41" s="27"/>
      <c r="F41" s="29"/>
      <c r="G41" s="28"/>
      <c r="H41" s="27"/>
    </row>
    <row r="42" ht="15.75" customHeight="1">
      <c r="A42" s="27"/>
      <c r="B42" s="28"/>
      <c r="C42" s="27"/>
      <c r="D42" s="28"/>
      <c r="E42" s="27"/>
      <c r="F42" s="28"/>
      <c r="G42" s="28"/>
      <c r="H42" s="27"/>
    </row>
    <row r="43" ht="15.75" customHeight="1">
      <c r="A43" s="27"/>
      <c r="B43" s="28"/>
      <c r="C43" s="27"/>
      <c r="D43" s="28"/>
      <c r="E43" s="27"/>
      <c r="F43" s="28"/>
      <c r="G43" s="28"/>
      <c r="H43" s="27"/>
    </row>
    <row r="44" ht="15.75" customHeight="1">
      <c r="A44" s="27"/>
      <c r="B44" s="28"/>
      <c r="C44" s="27"/>
      <c r="D44" s="28"/>
      <c r="E44" s="27"/>
      <c r="F44" s="28"/>
      <c r="G44" s="28"/>
      <c r="H44" s="27"/>
    </row>
    <row r="45" ht="15.75" customHeight="1">
      <c r="A45" s="27"/>
      <c r="B45" s="28"/>
      <c r="C45" s="27"/>
      <c r="D45" s="28"/>
      <c r="E45" s="27"/>
      <c r="F45" s="28"/>
      <c r="G45" s="28"/>
      <c r="H45" s="27"/>
    </row>
    <row r="46" ht="15.75" customHeight="1">
      <c r="A46" s="27"/>
      <c r="B46" s="28"/>
      <c r="C46" s="27"/>
      <c r="D46" s="28"/>
      <c r="E46" s="27"/>
      <c r="F46" s="28"/>
      <c r="G46" s="28"/>
      <c r="H46" s="27"/>
    </row>
    <row r="47" ht="15.75" customHeight="1">
      <c r="A47" s="27"/>
      <c r="B47" s="28"/>
      <c r="C47" s="27"/>
      <c r="D47" s="28"/>
      <c r="E47" s="27"/>
      <c r="F47" s="28"/>
      <c r="G47" s="28"/>
      <c r="H47" s="27"/>
    </row>
    <row r="48" ht="15.75" customHeight="1">
      <c r="A48" s="27"/>
      <c r="B48" s="28"/>
      <c r="C48" s="27"/>
      <c r="D48" s="28"/>
      <c r="E48" s="27"/>
      <c r="F48" s="28"/>
      <c r="G48" s="28"/>
      <c r="H48" s="27"/>
    </row>
    <row r="49" ht="15.75" customHeight="1">
      <c r="A49" s="27"/>
      <c r="B49" s="28"/>
      <c r="C49" s="27"/>
      <c r="D49" s="28"/>
      <c r="E49" s="27"/>
      <c r="F49" s="28"/>
      <c r="G49" s="28"/>
      <c r="H49" s="27"/>
    </row>
    <row r="50" ht="15.75" customHeight="1">
      <c r="A50" s="27"/>
      <c r="B50" s="28"/>
      <c r="C50" s="27"/>
      <c r="D50" s="28"/>
      <c r="E50" s="27"/>
      <c r="F50" s="28"/>
      <c r="G50" s="28"/>
      <c r="H50" s="27"/>
    </row>
    <row r="51" ht="15.75" customHeight="1">
      <c r="A51" s="27"/>
      <c r="B51" s="28"/>
      <c r="C51" s="27"/>
      <c r="D51" s="28"/>
      <c r="E51" s="27"/>
      <c r="F51" s="28"/>
      <c r="G51" s="28"/>
      <c r="H51" s="27"/>
    </row>
    <row r="52" ht="15.75" customHeight="1">
      <c r="A52" s="27"/>
      <c r="B52" s="28"/>
      <c r="C52" s="27"/>
      <c r="D52" s="28"/>
      <c r="E52" s="27"/>
      <c r="F52" s="28"/>
      <c r="G52" s="28"/>
      <c r="H52" s="27"/>
    </row>
    <row r="53" ht="15.75" customHeight="1">
      <c r="A53" s="27"/>
      <c r="B53" s="28"/>
      <c r="C53" s="27"/>
      <c r="D53" s="28"/>
      <c r="E53" s="27"/>
      <c r="F53" s="28"/>
      <c r="G53" s="28"/>
      <c r="H53" s="27"/>
    </row>
    <row r="54" ht="15.75" customHeight="1">
      <c r="A54" s="27"/>
      <c r="B54" s="28"/>
      <c r="C54" s="27"/>
      <c r="D54" s="28"/>
      <c r="E54" s="27"/>
      <c r="F54" s="28"/>
      <c r="G54" s="28"/>
      <c r="H54" s="27"/>
    </row>
    <row r="55" ht="15.75" customHeight="1">
      <c r="A55" s="27"/>
      <c r="B55" s="28"/>
      <c r="C55" s="27"/>
      <c r="D55" s="28"/>
      <c r="E55" s="27"/>
      <c r="F55" s="28"/>
      <c r="G55" s="28"/>
      <c r="H55" s="27"/>
    </row>
    <row r="56" ht="15.75" customHeight="1">
      <c r="A56" s="27"/>
      <c r="B56" s="28"/>
      <c r="C56" s="27"/>
      <c r="D56" s="28"/>
      <c r="E56" s="27"/>
      <c r="F56" s="28"/>
      <c r="G56" s="28"/>
      <c r="H56" s="27"/>
    </row>
    <row r="57" ht="15.75" customHeight="1">
      <c r="A57" s="27"/>
      <c r="B57" s="28"/>
      <c r="C57" s="27"/>
      <c r="D57" s="28"/>
      <c r="E57" s="27"/>
      <c r="F57" s="28"/>
      <c r="G57" s="28"/>
      <c r="H57" s="27"/>
    </row>
    <row r="58" ht="15.75" customHeight="1">
      <c r="A58" s="27"/>
      <c r="B58" s="28"/>
      <c r="C58" s="27"/>
      <c r="D58" s="28"/>
      <c r="E58" s="27"/>
      <c r="F58" s="28"/>
      <c r="G58" s="28"/>
      <c r="H58" s="27"/>
    </row>
    <row r="59" ht="15.75" customHeight="1">
      <c r="A59" s="27"/>
      <c r="B59" s="28"/>
      <c r="C59" s="27"/>
      <c r="D59" s="28"/>
      <c r="E59" s="27"/>
      <c r="F59" s="28"/>
      <c r="G59" s="28"/>
      <c r="H59" s="27"/>
    </row>
    <row r="60" ht="15.75" customHeight="1">
      <c r="A60" s="27"/>
      <c r="B60" s="28"/>
      <c r="C60" s="27"/>
      <c r="D60" s="28"/>
      <c r="E60" s="27"/>
      <c r="F60" s="28"/>
      <c r="G60" s="28"/>
      <c r="H60" s="27"/>
    </row>
    <row r="61" ht="15.75" customHeight="1">
      <c r="A61" s="27"/>
      <c r="B61" s="28"/>
      <c r="C61" s="27"/>
      <c r="D61" s="28"/>
      <c r="E61" s="27"/>
      <c r="F61" s="28"/>
      <c r="G61" s="28"/>
      <c r="H61" s="27"/>
    </row>
    <row r="62" ht="15.75" customHeight="1">
      <c r="A62" s="27"/>
      <c r="B62" s="28"/>
      <c r="C62" s="27"/>
      <c r="D62" s="28"/>
      <c r="E62" s="27"/>
      <c r="F62" s="28"/>
      <c r="G62" s="28"/>
      <c r="H62" s="27"/>
    </row>
    <row r="63" ht="15.75" customHeight="1">
      <c r="A63" s="30"/>
      <c r="B63" s="31"/>
      <c r="C63" s="30"/>
      <c r="D63" s="31"/>
      <c r="E63" s="30"/>
      <c r="F63" s="31"/>
      <c r="G63" s="31"/>
      <c r="H63" s="30"/>
    </row>
    <row r="64" ht="15.75" customHeight="1">
      <c r="A64" s="30"/>
      <c r="B64" s="31"/>
      <c r="C64" s="30"/>
      <c r="D64" s="31"/>
      <c r="E64" s="30"/>
      <c r="F64" s="31"/>
      <c r="G64" s="31"/>
      <c r="H64" s="30"/>
    </row>
    <row r="65" ht="15.75" customHeight="1">
      <c r="A65" s="30"/>
      <c r="B65" s="31"/>
      <c r="C65" s="30"/>
      <c r="D65" s="31"/>
      <c r="E65" s="30"/>
      <c r="F65" s="31"/>
      <c r="G65" s="31"/>
      <c r="H65" s="30"/>
    </row>
    <row r="66" ht="15.75" customHeight="1">
      <c r="A66" s="30"/>
      <c r="B66" s="31"/>
      <c r="C66" s="30"/>
      <c r="D66" s="31"/>
      <c r="E66" s="30"/>
      <c r="F66" s="31"/>
      <c r="G66" s="31"/>
      <c r="H66" s="30"/>
    </row>
    <row r="67" ht="15.75" customHeight="1">
      <c r="A67" s="30"/>
      <c r="B67" s="31"/>
      <c r="C67" s="30"/>
      <c r="D67" s="31"/>
      <c r="E67" s="30"/>
      <c r="F67" s="31"/>
      <c r="G67" s="31"/>
      <c r="H67" s="30"/>
    </row>
    <row r="68" ht="15.75" customHeight="1">
      <c r="A68" s="30"/>
      <c r="B68" s="31"/>
      <c r="C68" s="30"/>
      <c r="D68" s="31"/>
      <c r="E68" s="30"/>
      <c r="F68" s="31"/>
      <c r="G68" s="31"/>
      <c r="H68" s="30"/>
    </row>
    <row r="69" ht="15.75" customHeight="1">
      <c r="A69" s="18"/>
      <c r="B69" s="19"/>
      <c r="C69" s="18"/>
      <c r="D69" s="19"/>
      <c r="E69" s="18"/>
      <c r="F69" s="19"/>
      <c r="G69" s="19"/>
      <c r="H69" s="18"/>
    </row>
    <row r="70" ht="15.75" customHeight="1">
      <c r="A70" s="18"/>
      <c r="B70" s="19"/>
      <c r="C70" s="18"/>
      <c r="D70" s="19"/>
      <c r="E70" s="18"/>
      <c r="F70" s="19"/>
      <c r="G70" s="19"/>
      <c r="H70" s="18"/>
    </row>
    <row r="71" ht="15.75" customHeight="1">
      <c r="A71" s="18"/>
      <c r="B71" s="19"/>
      <c r="C71" s="18"/>
      <c r="D71" s="19"/>
      <c r="E71" s="18"/>
      <c r="F71" s="19"/>
      <c r="G71" s="19"/>
      <c r="H71" s="18"/>
    </row>
    <row r="72" ht="15.75" customHeight="1">
      <c r="A72" s="18"/>
      <c r="B72" s="19"/>
      <c r="C72" s="18"/>
      <c r="D72" s="19"/>
      <c r="E72" s="18"/>
      <c r="F72" s="19"/>
      <c r="G72" s="19"/>
      <c r="H72" s="18"/>
    </row>
    <row r="73" ht="15.75" customHeight="1">
      <c r="A73" s="18"/>
      <c r="B73" s="19"/>
      <c r="C73" s="18"/>
      <c r="D73" s="19"/>
      <c r="E73" s="18"/>
      <c r="F73" s="19"/>
      <c r="G73" s="19"/>
      <c r="H73" s="18"/>
    </row>
    <row r="74" ht="15.75" customHeight="1">
      <c r="A74" s="18"/>
      <c r="B74" s="19"/>
      <c r="C74" s="18"/>
      <c r="D74" s="19"/>
      <c r="E74" s="18"/>
      <c r="F74" s="19"/>
      <c r="G74" s="19"/>
      <c r="H74" s="18"/>
    </row>
    <row r="75" ht="15.75" customHeight="1">
      <c r="A75" s="18"/>
      <c r="B75" s="19"/>
      <c r="C75" s="18"/>
      <c r="D75" s="19"/>
      <c r="E75" s="18"/>
      <c r="F75" s="19"/>
      <c r="G75" s="19"/>
      <c r="H75" s="18"/>
    </row>
    <row r="76" ht="15.75" customHeight="1">
      <c r="A76" s="18"/>
      <c r="B76" s="19"/>
      <c r="C76" s="18"/>
      <c r="D76" s="19"/>
      <c r="E76" s="18"/>
      <c r="F76" s="19"/>
      <c r="G76" s="19"/>
      <c r="H76" s="18"/>
    </row>
    <row r="77" ht="15.75" customHeight="1">
      <c r="A77" s="18"/>
      <c r="B77" s="19"/>
      <c r="C77" s="18"/>
      <c r="D77" s="19"/>
      <c r="E77" s="18"/>
      <c r="F77" s="19"/>
      <c r="G77" s="19"/>
      <c r="H77" s="18"/>
    </row>
    <row r="78" ht="15.75" customHeight="1">
      <c r="A78" s="18"/>
      <c r="B78" s="19"/>
      <c r="C78" s="18"/>
      <c r="D78" s="19"/>
      <c r="E78" s="18"/>
      <c r="F78" s="19"/>
      <c r="G78" s="19"/>
      <c r="H78" s="18"/>
    </row>
    <row r="79" ht="15.75" customHeight="1">
      <c r="A79" s="18"/>
      <c r="B79" s="19"/>
      <c r="C79" s="18"/>
      <c r="D79" s="19"/>
      <c r="E79" s="18"/>
      <c r="F79" s="19"/>
      <c r="G79" s="19"/>
      <c r="H79" s="18"/>
    </row>
    <row r="80" ht="15.75" customHeight="1">
      <c r="A80" s="18"/>
      <c r="B80" s="19"/>
      <c r="C80" s="18"/>
      <c r="D80" s="19"/>
      <c r="E80" s="18"/>
      <c r="F80" s="19"/>
      <c r="G80" s="19"/>
      <c r="H80" s="18"/>
    </row>
    <row r="81" ht="15.75" customHeight="1">
      <c r="A81" s="18"/>
      <c r="B81" s="19"/>
      <c r="C81" s="18"/>
      <c r="D81" s="19"/>
      <c r="E81" s="18"/>
      <c r="F81" s="19"/>
      <c r="G81" s="19"/>
      <c r="H81" s="18"/>
    </row>
    <row r="82" ht="15.75" customHeight="1">
      <c r="A82" s="18"/>
      <c r="B82" s="19"/>
      <c r="C82" s="18"/>
      <c r="D82" s="19"/>
      <c r="E82" s="18"/>
      <c r="F82" s="19"/>
      <c r="G82" s="19"/>
      <c r="H82" s="18"/>
    </row>
    <row r="83" ht="15.75" customHeight="1">
      <c r="A83" s="18"/>
      <c r="B83" s="19"/>
      <c r="C83" s="18"/>
      <c r="D83" s="19"/>
      <c r="E83" s="18"/>
      <c r="F83" s="19"/>
      <c r="G83" s="19"/>
      <c r="H83" s="18"/>
    </row>
    <row r="84" ht="15.75" customHeight="1">
      <c r="A84" s="18"/>
      <c r="B84" s="19"/>
      <c r="C84" s="18"/>
      <c r="D84" s="19"/>
      <c r="E84" s="18"/>
      <c r="F84" s="19"/>
      <c r="G84" s="19"/>
      <c r="H84" s="18"/>
    </row>
    <row r="85" ht="15.75" customHeight="1">
      <c r="A85" s="18"/>
      <c r="B85" s="19"/>
      <c r="C85" s="18"/>
      <c r="D85" s="19"/>
      <c r="E85" s="18"/>
      <c r="F85" s="19"/>
      <c r="G85" s="19"/>
      <c r="H85" s="18"/>
    </row>
    <row r="86" ht="15.75" customHeight="1">
      <c r="A86" s="18"/>
      <c r="B86" s="19"/>
      <c r="C86" s="18"/>
      <c r="D86" s="19"/>
      <c r="E86" s="18"/>
      <c r="F86" s="19"/>
      <c r="G86" s="19"/>
      <c r="H86" s="18"/>
    </row>
    <row r="87" ht="15.75" customHeight="1">
      <c r="A87" s="18"/>
      <c r="B87" s="19"/>
      <c r="C87" s="18"/>
      <c r="D87" s="19"/>
      <c r="E87" s="18"/>
      <c r="F87" s="19"/>
      <c r="G87" s="19"/>
      <c r="H87" s="18"/>
    </row>
    <row r="88" ht="15.75" customHeight="1">
      <c r="A88" s="18"/>
      <c r="B88" s="19"/>
      <c r="C88" s="18"/>
      <c r="D88" s="19"/>
      <c r="E88" s="18"/>
      <c r="F88" s="19"/>
      <c r="G88" s="19"/>
      <c r="H88" s="18"/>
    </row>
    <row r="89" ht="15.75" customHeight="1">
      <c r="A89" s="18"/>
      <c r="B89" s="19"/>
      <c r="C89" s="18"/>
      <c r="D89" s="19"/>
      <c r="E89" s="18"/>
      <c r="F89" s="19"/>
      <c r="G89" s="19"/>
      <c r="H89" s="18"/>
    </row>
    <row r="90" ht="15.75" customHeight="1">
      <c r="A90" s="18"/>
      <c r="B90" s="19"/>
      <c r="C90" s="18"/>
      <c r="D90" s="19"/>
      <c r="E90" s="18"/>
      <c r="F90" s="19"/>
      <c r="G90" s="19"/>
      <c r="H90" s="18"/>
    </row>
    <row r="91" ht="15.75" customHeight="1">
      <c r="A91" s="18"/>
      <c r="B91" s="19"/>
      <c r="C91" s="18"/>
      <c r="D91" s="19"/>
      <c r="E91" s="18"/>
      <c r="F91" s="19"/>
      <c r="G91" s="19"/>
      <c r="H91" s="18"/>
    </row>
    <row r="92" ht="15.75" customHeight="1">
      <c r="A92" s="18"/>
      <c r="B92" s="19"/>
      <c r="C92" s="18"/>
      <c r="D92" s="19"/>
      <c r="E92" s="18"/>
      <c r="F92" s="19"/>
      <c r="G92" s="19"/>
      <c r="H92" s="18"/>
    </row>
    <row r="93" ht="15.75" customHeight="1">
      <c r="A93" s="18"/>
      <c r="B93" s="19"/>
      <c r="C93" s="18"/>
      <c r="D93" s="19"/>
      <c r="E93" s="18"/>
      <c r="F93" s="19"/>
      <c r="G93" s="19"/>
      <c r="H93" s="18"/>
    </row>
    <row r="94" ht="15.75" customHeight="1">
      <c r="A94" s="18"/>
      <c r="B94" s="19"/>
      <c r="C94" s="18"/>
      <c r="D94" s="19"/>
      <c r="E94" s="18"/>
      <c r="F94" s="19"/>
      <c r="G94" s="19"/>
      <c r="H94" s="18"/>
    </row>
    <row r="95" ht="15.75" customHeight="1">
      <c r="A95" s="18"/>
      <c r="B95" s="19"/>
      <c r="C95" s="18"/>
      <c r="D95" s="19"/>
      <c r="E95" s="18"/>
      <c r="F95" s="19"/>
      <c r="G95" s="19"/>
      <c r="H95" s="18"/>
    </row>
    <row r="96" ht="15.75" customHeight="1">
      <c r="A96" s="18"/>
      <c r="B96" s="19"/>
      <c r="C96" s="18"/>
      <c r="D96" s="19"/>
      <c r="E96" s="18"/>
      <c r="F96" s="19"/>
      <c r="G96" s="19"/>
      <c r="H96" s="18"/>
    </row>
    <row r="97" ht="15.75" customHeight="1">
      <c r="A97" s="18"/>
      <c r="B97" s="19"/>
      <c r="C97" s="18"/>
      <c r="D97" s="19"/>
      <c r="E97" s="18"/>
      <c r="F97" s="19"/>
      <c r="G97" s="19"/>
      <c r="H97" s="18"/>
    </row>
    <row r="98" ht="15.75" customHeight="1">
      <c r="A98" s="18"/>
      <c r="B98" s="19"/>
      <c r="C98" s="18"/>
      <c r="D98" s="19"/>
      <c r="E98" s="18"/>
      <c r="F98" s="19"/>
      <c r="G98" s="19"/>
      <c r="H98" s="18"/>
    </row>
    <row r="99" ht="15.75" customHeight="1">
      <c r="A99" s="18"/>
      <c r="B99" s="19"/>
      <c r="C99" s="18"/>
      <c r="D99" s="19"/>
      <c r="E99" s="18"/>
      <c r="F99" s="19"/>
      <c r="G99" s="19"/>
      <c r="H99" s="18"/>
    </row>
    <row r="100" ht="15.75" customHeight="1">
      <c r="A100" s="18"/>
      <c r="B100" s="19"/>
      <c r="C100" s="18"/>
      <c r="D100" s="19"/>
      <c r="E100" s="18"/>
      <c r="F100" s="19"/>
      <c r="G100" s="19"/>
      <c r="H100" s="18"/>
    </row>
    <row r="101" ht="15.75" customHeight="1">
      <c r="A101" s="18"/>
      <c r="B101" s="19"/>
      <c r="C101" s="18"/>
      <c r="D101" s="19"/>
      <c r="E101" s="18"/>
      <c r="F101" s="19"/>
      <c r="G101" s="19"/>
      <c r="H101" s="18"/>
    </row>
    <row r="102" ht="15.75" customHeight="1">
      <c r="A102" s="18"/>
      <c r="B102" s="19"/>
      <c r="C102" s="18"/>
      <c r="D102" s="19"/>
      <c r="E102" s="18"/>
      <c r="F102" s="19"/>
      <c r="G102" s="19"/>
      <c r="H102" s="18"/>
    </row>
    <row r="103" ht="15.75" customHeight="1">
      <c r="A103" s="18"/>
      <c r="B103" s="19"/>
      <c r="C103" s="18"/>
      <c r="D103" s="19"/>
      <c r="E103" s="18"/>
      <c r="F103" s="19"/>
      <c r="G103" s="19"/>
      <c r="H103" s="18"/>
    </row>
    <row r="104" ht="15.75" customHeight="1">
      <c r="A104" s="18"/>
      <c r="B104" s="19"/>
      <c r="C104" s="18"/>
      <c r="D104" s="19"/>
      <c r="E104" s="18"/>
      <c r="F104" s="19"/>
      <c r="G104" s="19"/>
      <c r="H104" s="18"/>
    </row>
    <row r="105" ht="15.75" customHeight="1">
      <c r="A105" s="18"/>
      <c r="B105" s="19"/>
      <c r="C105" s="18"/>
      <c r="D105" s="19"/>
      <c r="E105" s="18"/>
      <c r="F105" s="19"/>
      <c r="G105" s="19"/>
      <c r="H105" s="18"/>
    </row>
    <row r="106" ht="15.75" customHeight="1">
      <c r="A106" s="18"/>
      <c r="B106" s="19"/>
      <c r="C106" s="18"/>
      <c r="D106" s="19"/>
      <c r="E106" s="18"/>
      <c r="F106" s="19"/>
      <c r="G106" s="19"/>
      <c r="H106" s="18"/>
    </row>
    <row r="107" ht="15.75" customHeight="1">
      <c r="A107" s="18"/>
      <c r="B107" s="19"/>
      <c r="C107" s="18"/>
      <c r="D107" s="19"/>
      <c r="E107" s="18"/>
      <c r="F107" s="19"/>
      <c r="G107" s="19"/>
      <c r="H107" s="18"/>
    </row>
    <row r="108" ht="15.75" customHeight="1">
      <c r="A108" s="18"/>
      <c r="B108" s="19"/>
      <c r="C108" s="18"/>
      <c r="D108" s="19"/>
      <c r="E108" s="18"/>
      <c r="F108" s="19"/>
      <c r="G108" s="19"/>
      <c r="H108" s="18"/>
    </row>
    <row r="109" ht="15.75" customHeight="1">
      <c r="A109" s="18"/>
      <c r="B109" s="19"/>
      <c r="C109" s="18"/>
      <c r="D109" s="19"/>
      <c r="E109" s="18"/>
      <c r="F109" s="19"/>
      <c r="G109" s="19"/>
      <c r="H109" s="18"/>
    </row>
    <row r="110" ht="15.75" customHeight="1">
      <c r="A110" s="18"/>
      <c r="B110" s="19"/>
      <c r="C110" s="18"/>
      <c r="D110" s="19"/>
      <c r="E110" s="18"/>
      <c r="F110" s="19"/>
      <c r="G110" s="19"/>
      <c r="H110" s="18"/>
    </row>
    <row r="111" ht="15.75" customHeight="1">
      <c r="A111" s="18"/>
      <c r="B111" s="19"/>
      <c r="C111" s="18"/>
      <c r="D111" s="19"/>
      <c r="E111" s="18"/>
      <c r="F111" s="19"/>
      <c r="G111" s="19"/>
      <c r="H111" s="18"/>
    </row>
    <row r="112" ht="15.75" customHeight="1">
      <c r="A112" s="18"/>
      <c r="B112" s="19"/>
      <c r="C112" s="18"/>
      <c r="D112" s="19"/>
      <c r="E112" s="18"/>
      <c r="F112" s="19"/>
      <c r="G112" s="19"/>
      <c r="H112" s="18"/>
    </row>
    <row r="113" ht="15.75" customHeight="1">
      <c r="A113" s="18"/>
      <c r="B113" s="19"/>
      <c r="C113" s="18"/>
      <c r="D113" s="19"/>
      <c r="E113" s="18"/>
      <c r="F113" s="19"/>
      <c r="G113" s="19"/>
      <c r="H113" s="18"/>
    </row>
    <row r="114" ht="15.75" customHeight="1">
      <c r="A114" s="18"/>
      <c r="B114" s="19"/>
      <c r="C114" s="18"/>
      <c r="D114" s="19"/>
      <c r="E114" s="18"/>
      <c r="F114" s="19"/>
      <c r="G114" s="19"/>
      <c r="H114" s="18"/>
    </row>
    <row r="115" ht="15.75" customHeight="1">
      <c r="A115" s="18"/>
      <c r="B115" s="19"/>
      <c r="C115" s="18"/>
      <c r="D115" s="19"/>
      <c r="E115" s="18"/>
      <c r="F115" s="19"/>
      <c r="G115" s="19"/>
      <c r="H115" s="18"/>
    </row>
    <row r="116" ht="15.75" customHeight="1">
      <c r="A116" s="18"/>
      <c r="B116" s="19"/>
      <c r="C116" s="18"/>
      <c r="D116" s="19"/>
      <c r="E116" s="18"/>
      <c r="F116" s="19"/>
      <c r="G116" s="19"/>
      <c r="H116" s="18"/>
    </row>
    <row r="117" ht="15.75" customHeight="1">
      <c r="A117" s="18"/>
      <c r="B117" s="19"/>
      <c r="C117" s="18"/>
      <c r="D117" s="19"/>
      <c r="E117" s="18"/>
      <c r="F117" s="19"/>
      <c r="G117" s="19"/>
      <c r="H117" s="18"/>
    </row>
    <row r="118" ht="15.75" customHeight="1">
      <c r="A118" s="18"/>
      <c r="B118" s="19"/>
      <c r="C118" s="18"/>
      <c r="D118" s="19"/>
      <c r="E118" s="18"/>
      <c r="F118" s="19"/>
      <c r="G118" s="19"/>
      <c r="H118" s="18"/>
    </row>
    <row r="119" ht="15.75" customHeight="1">
      <c r="A119" s="18"/>
      <c r="B119" s="19"/>
      <c r="C119" s="18"/>
      <c r="D119" s="19"/>
      <c r="E119" s="18"/>
      <c r="F119" s="19"/>
      <c r="G119" s="19"/>
      <c r="H119" s="18"/>
    </row>
    <row r="120" ht="15.75" customHeight="1">
      <c r="A120" s="18"/>
      <c r="B120" s="19"/>
      <c r="C120" s="18"/>
      <c r="D120" s="19"/>
      <c r="E120" s="18"/>
      <c r="F120" s="19"/>
      <c r="G120" s="19"/>
      <c r="H120" s="18"/>
    </row>
    <row r="121" ht="15.75" customHeight="1">
      <c r="A121" s="18"/>
      <c r="B121" s="19"/>
      <c r="C121" s="18"/>
      <c r="D121" s="19"/>
      <c r="E121" s="18"/>
      <c r="F121" s="19"/>
      <c r="G121" s="19"/>
      <c r="H121" s="18"/>
    </row>
    <row r="122" ht="15.75" customHeight="1">
      <c r="A122" s="18"/>
      <c r="B122" s="19"/>
      <c r="C122" s="18"/>
      <c r="D122" s="19"/>
      <c r="E122" s="18"/>
      <c r="F122" s="19"/>
      <c r="G122" s="19"/>
      <c r="H122" s="18"/>
    </row>
    <row r="123" ht="15.75" customHeight="1">
      <c r="A123" s="18"/>
      <c r="B123" s="19"/>
      <c r="C123" s="18"/>
      <c r="D123" s="19"/>
      <c r="E123" s="18"/>
      <c r="F123" s="19"/>
      <c r="G123" s="19"/>
      <c r="H123" s="18"/>
    </row>
    <row r="124" ht="15.75" customHeight="1">
      <c r="A124" s="18"/>
      <c r="B124" s="19"/>
      <c r="C124" s="18"/>
      <c r="D124" s="19"/>
      <c r="E124" s="18"/>
      <c r="F124" s="19"/>
      <c r="G124" s="19"/>
      <c r="H124" s="18"/>
    </row>
    <row r="125" ht="15.75" customHeight="1">
      <c r="A125" s="18"/>
      <c r="B125" s="19"/>
      <c r="C125" s="18"/>
      <c r="D125" s="19"/>
      <c r="E125" s="18"/>
      <c r="F125" s="19"/>
      <c r="G125" s="19"/>
      <c r="H125" s="18"/>
    </row>
    <row r="126" ht="15.75" customHeight="1">
      <c r="A126" s="18"/>
      <c r="B126" s="19"/>
      <c r="C126" s="18"/>
      <c r="D126" s="19"/>
      <c r="E126" s="18"/>
      <c r="F126" s="19"/>
      <c r="G126" s="19"/>
      <c r="H126" s="18"/>
    </row>
    <row r="127" ht="15.75" customHeight="1">
      <c r="A127" s="18"/>
      <c r="B127" s="19"/>
      <c r="C127" s="18"/>
      <c r="D127" s="19"/>
      <c r="E127" s="18"/>
      <c r="F127" s="19"/>
      <c r="G127" s="19"/>
      <c r="H127" s="18"/>
    </row>
    <row r="128" ht="15.75" customHeight="1">
      <c r="A128" s="18"/>
      <c r="B128" s="19"/>
      <c r="C128" s="18"/>
      <c r="D128" s="19"/>
      <c r="E128" s="18"/>
      <c r="F128" s="19"/>
      <c r="G128" s="19"/>
      <c r="H128" s="18"/>
    </row>
    <row r="129" ht="15.75" customHeight="1">
      <c r="A129" s="18"/>
      <c r="B129" s="19"/>
      <c r="C129" s="18"/>
      <c r="D129" s="19"/>
      <c r="E129" s="18"/>
      <c r="F129" s="19"/>
      <c r="G129" s="19"/>
      <c r="H129" s="18"/>
    </row>
    <row r="130" ht="15.75" customHeight="1">
      <c r="A130" s="18"/>
      <c r="B130" s="19"/>
      <c r="C130" s="18"/>
      <c r="D130" s="19"/>
      <c r="E130" s="18"/>
      <c r="F130" s="19"/>
      <c r="G130" s="19"/>
      <c r="H130" s="18"/>
    </row>
    <row r="131" ht="15.75" customHeight="1">
      <c r="A131" s="18"/>
      <c r="B131" s="19"/>
      <c r="C131" s="18"/>
      <c r="D131" s="19"/>
      <c r="E131" s="18"/>
      <c r="F131" s="19"/>
      <c r="G131" s="19"/>
      <c r="H131" s="18"/>
    </row>
    <row r="132" ht="15.75" customHeight="1">
      <c r="A132" s="18"/>
      <c r="B132" s="19"/>
      <c r="C132" s="18"/>
      <c r="D132" s="19"/>
      <c r="E132" s="18"/>
      <c r="F132" s="19"/>
      <c r="G132" s="19"/>
      <c r="H132" s="18"/>
    </row>
    <row r="133" ht="15.75" customHeight="1">
      <c r="A133" s="18"/>
      <c r="B133" s="19"/>
      <c r="C133" s="18"/>
      <c r="D133" s="19"/>
      <c r="E133" s="18"/>
      <c r="F133" s="19"/>
      <c r="G133" s="19"/>
      <c r="H133" s="18"/>
    </row>
    <row r="134" ht="15.75" customHeight="1">
      <c r="A134" s="18"/>
      <c r="B134" s="19"/>
      <c r="C134" s="18"/>
      <c r="D134" s="19"/>
      <c r="E134" s="18"/>
      <c r="F134" s="19"/>
      <c r="G134" s="19"/>
      <c r="H134" s="18"/>
    </row>
    <row r="135" ht="15.75" customHeight="1">
      <c r="A135" s="18"/>
      <c r="B135" s="19"/>
      <c r="C135" s="18"/>
      <c r="D135" s="19"/>
      <c r="E135" s="18"/>
      <c r="F135" s="19"/>
      <c r="G135" s="19"/>
      <c r="H135" s="18"/>
    </row>
    <row r="136" ht="15.75" customHeight="1">
      <c r="A136" s="18"/>
      <c r="B136" s="19"/>
      <c r="C136" s="18"/>
      <c r="D136" s="19"/>
      <c r="E136" s="18"/>
      <c r="F136" s="19"/>
      <c r="G136" s="19"/>
      <c r="H136" s="18"/>
    </row>
    <row r="137" ht="15.75" customHeight="1">
      <c r="A137" s="18"/>
      <c r="B137" s="19"/>
      <c r="C137" s="18"/>
      <c r="D137" s="19"/>
      <c r="E137" s="18"/>
      <c r="F137" s="19"/>
      <c r="G137" s="19"/>
      <c r="H137" s="18"/>
    </row>
    <row r="138" ht="15.75" customHeight="1">
      <c r="A138" s="18"/>
      <c r="B138" s="19"/>
      <c r="C138" s="18"/>
      <c r="D138" s="19"/>
      <c r="E138" s="18"/>
      <c r="F138" s="19"/>
      <c r="G138" s="19"/>
      <c r="H138" s="18"/>
    </row>
    <row r="139" ht="15.75" customHeight="1">
      <c r="A139" s="18"/>
      <c r="B139" s="19"/>
      <c r="C139" s="18"/>
      <c r="D139" s="19"/>
      <c r="E139" s="18"/>
      <c r="F139" s="19"/>
      <c r="G139" s="19"/>
      <c r="H139" s="18"/>
    </row>
    <row r="140" ht="15.75" customHeight="1">
      <c r="A140" s="18"/>
      <c r="B140" s="19"/>
      <c r="C140" s="18"/>
      <c r="D140" s="19"/>
      <c r="E140" s="18"/>
      <c r="F140" s="19"/>
      <c r="G140" s="19"/>
      <c r="H140" s="18"/>
    </row>
    <row r="141" ht="15.75" customHeight="1">
      <c r="A141" s="18"/>
      <c r="B141" s="19"/>
      <c r="C141" s="18"/>
      <c r="D141" s="19"/>
      <c r="E141" s="18"/>
      <c r="F141" s="19"/>
      <c r="G141" s="19"/>
      <c r="H141" s="18"/>
    </row>
    <row r="142" ht="15.75" customHeight="1">
      <c r="A142" s="18"/>
      <c r="B142" s="19"/>
      <c r="C142" s="18"/>
      <c r="D142" s="19"/>
      <c r="E142" s="18"/>
      <c r="F142" s="19"/>
      <c r="G142" s="19"/>
      <c r="H142" s="18"/>
    </row>
    <row r="143" ht="15.75" customHeight="1">
      <c r="A143" s="18"/>
      <c r="B143" s="19"/>
      <c r="C143" s="18"/>
      <c r="D143" s="19"/>
      <c r="E143" s="18"/>
      <c r="F143" s="19"/>
      <c r="G143" s="19"/>
      <c r="H143" s="18"/>
    </row>
    <row r="144" ht="15.75" customHeight="1">
      <c r="A144" s="18"/>
      <c r="B144" s="19"/>
      <c r="C144" s="18"/>
      <c r="D144" s="19"/>
      <c r="E144" s="18"/>
      <c r="F144" s="19"/>
      <c r="G144" s="19"/>
      <c r="H144" s="18"/>
    </row>
    <row r="145" ht="15.75" customHeight="1">
      <c r="A145" s="18"/>
      <c r="B145" s="19"/>
      <c r="C145" s="18"/>
      <c r="D145" s="19"/>
      <c r="E145" s="18"/>
      <c r="F145" s="19"/>
      <c r="G145" s="19"/>
      <c r="H145" s="18"/>
    </row>
    <row r="146" ht="15.75" customHeight="1">
      <c r="A146" s="18"/>
      <c r="B146" s="19"/>
      <c r="C146" s="18"/>
      <c r="D146" s="19"/>
      <c r="E146" s="18"/>
      <c r="F146" s="19"/>
      <c r="G146" s="19"/>
      <c r="H146" s="18"/>
    </row>
    <row r="147" ht="15.75" customHeight="1">
      <c r="A147" s="18"/>
      <c r="B147" s="19"/>
      <c r="C147" s="18"/>
      <c r="D147" s="19"/>
      <c r="E147" s="18"/>
      <c r="F147" s="19"/>
      <c r="G147" s="19"/>
      <c r="H147" s="18"/>
    </row>
    <row r="148" ht="15.75" customHeight="1">
      <c r="A148" s="18"/>
      <c r="B148" s="19"/>
      <c r="C148" s="18"/>
      <c r="D148" s="19"/>
      <c r="E148" s="18"/>
      <c r="F148" s="19"/>
      <c r="G148" s="19"/>
      <c r="H148" s="18"/>
    </row>
    <row r="149" ht="15.75" customHeight="1">
      <c r="A149" s="18"/>
      <c r="B149" s="19"/>
      <c r="C149" s="18"/>
      <c r="D149" s="19"/>
      <c r="E149" s="18"/>
      <c r="F149" s="19"/>
      <c r="G149" s="19"/>
      <c r="H149" s="18"/>
    </row>
    <row r="150" ht="15.75" customHeight="1">
      <c r="A150" s="18"/>
      <c r="B150" s="19"/>
      <c r="C150" s="18"/>
      <c r="D150" s="19"/>
      <c r="E150" s="18"/>
      <c r="F150" s="19"/>
      <c r="G150" s="19"/>
      <c r="H150" s="18"/>
    </row>
    <row r="151" ht="15.75" customHeight="1">
      <c r="A151" s="18"/>
      <c r="B151" s="19"/>
      <c r="C151" s="18"/>
      <c r="D151" s="19"/>
      <c r="E151" s="18"/>
      <c r="F151" s="19"/>
      <c r="G151" s="19"/>
      <c r="H151" s="18"/>
    </row>
    <row r="152" ht="15.75" customHeight="1">
      <c r="A152" s="18"/>
      <c r="B152" s="19"/>
      <c r="C152" s="18"/>
      <c r="D152" s="19"/>
      <c r="E152" s="18"/>
      <c r="F152" s="19"/>
      <c r="G152" s="19"/>
      <c r="H152" s="18"/>
    </row>
    <row r="153" ht="15.75" customHeight="1">
      <c r="A153" s="18"/>
      <c r="B153" s="19"/>
      <c r="C153" s="18"/>
      <c r="D153" s="19"/>
      <c r="E153" s="18"/>
      <c r="F153" s="19"/>
      <c r="G153" s="19"/>
      <c r="H153" s="18"/>
    </row>
    <row r="154" ht="15.75" customHeight="1">
      <c r="A154" s="18"/>
      <c r="B154" s="19"/>
      <c r="C154" s="18"/>
      <c r="D154" s="19"/>
      <c r="E154" s="18"/>
      <c r="F154" s="19"/>
      <c r="G154" s="19"/>
      <c r="H154" s="18"/>
    </row>
    <row r="155" ht="15.75" customHeight="1">
      <c r="A155" s="18"/>
      <c r="B155" s="19"/>
      <c r="C155" s="18"/>
      <c r="D155" s="19"/>
      <c r="E155" s="18"/>
      <c r="F155" s="19"/>
      <c r="G155" s="19"/>
      <c r="H155" s="18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4:H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3" width="22.0"/>
    <col customWidth="1" min="4" max="4" width="10.0"/>
    <col customWidth="1" min="5" max="5" width="26.0"/>
    <col customWidth="1" min="6" max="6" width="18.0"/>
    <col customWidth="1" min="7" max="8" width="14.0"/>
    <col customWidth="1" min="9" max="9" width="12.0"/>
    <col customWidth="1" min="10" max="26" width="8.71"/>
  </cols>
  <sheetData>
    <row r="1" ht="27.75" customHeight="1">
      <c r="A1" s="1" t="s">
        <v>68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5" t="s">
        <v>69</v>
      </c>
      <c r="B2" s="2"/>
      <c r="C2" s="2"/>
      <c r="D2" s="2"/>
      <c r="E2" s="2"/>
      <c r="F2" s="2"/>
      <c r="G2" s="2"/>
      <c r="H2" s="2"/>
      <c r="I2" s="3"/>
    </row>
    <row r="4">
      <c r="A4" s="6" t="s">
        <v>70</v>
      </c>
    </row>
    <row r="5">
      <c r="A5" s="7" t="s">
        <v>50</v>
      </c>
      <c r="B5" s="7" t="s">
        <v>11</v>
      </c>
      <c r="C5" s="7" t="s">
        <v>71</v>
      </c>
      <c r="D5" s="7" t="s">
        <v>72</v>
      </c>
      <c r="E5" s="7" t="s">
        <v>73</v>
      </c>
      <c r="F5" s="7" t="s">
        <v>74</v>
      </c>
      <c r="G5" s="7" t="s">
        <v>75</v>
      </c>
      <c r="H5" s="7" t="s">
        <v>76</v>
      </c>
      <c r="I5" s="7" t="s">
        <v>77</v>
      </c>
    </row>
    <row r="6">
      <c r="A6" s="18"/>
      <c r="B6" s="19"/>
      <c r="C6" s="19"/>
      <c r="D6" s="18"/>
      <c r="E6" s="19"/>
      <c r="F6" s="19"/>
      <c r="G6" s="18"/>
      <c r="H6" s="18"/>
      <c r="I6" s="18"/>
    </row>
    <row r="7">
      <c r="A7" s="18"/>
      <c r="B7" s="19"/>
      <c r="C7" s="19"/>
      <c r="D7" s="18"/>
      <c r="E7" s="19"/>
      <c r="F7" s="19"/>
      <c r="G7" s="18"/>
      <c r="H7" s="18"/>
      <c r="I7" s="18"/>
    </row>
    <row r="8">
      <c r="A8" s="18"/>
      <c r="B8" s="19"/>
      <c r="C8" s="19"/>
      <c r="D8" s="18"/>
      <c r="E8" s="19"/>
      <c r="F8" s="19"/>
      <c r="G8" s="18"/>
      <c r="H8" s="18"/>
      <c r="I8" s="18"/>
    </row>
    <row r="9">
      <c r="A9" s="18"/>
      <c r="B9" s="19"/>
      <c r="C9" s="19"/>
      <c r="D9" s="18"/>
      <c r="E9" s="19"/>
      <c r="F9" s="19"/>
      <c r="G9" s="18"/>
      <c r="H9" s="18"/>
      <c r="I9" s="18"/>
    </row>
    <row r="10">
      <c r="A10" s="18"/>
      <c r="B10" s="19"/>
      <c r="C10" s="19"/>
      <c r="D10" s="18"/>
      <c r="E10" s="19"/>
      <c r="F10" s="19"/>
      <c r="G10" s="18"/>
      <c r="H10" s="18"/>
      <c r="I10" s="18"/>
    </row>
    <row r="11">
      <c r="A11" s="18"/>
      <c r="B11" s="19"/>
      <c r="C11" s="19"/>
      <c r="D11" s="18"/>
      <c r="E11" s="19"/>
      <c r="F11" s="19"/>
      <c r="G11" s="18"/>
      <c r="H11" s="18"/>
      <c r="I11" s="18"/>
    </row>
    <row r="12">
      <c r="A12" s="18"/>
      <c r="B12" s="19"/>
      <c r="C12" s="19"/>
      <c r="D12" s="18"/>
      <c r="E12" s="19"/>
      <c r="F12" s="19"/>
      <c r="G12" s="18"/>
      <c r="H12" s="18"/>
      <c r="I12" s="18"/>
    </row>
    <row r="13">
      <c r="A13" s="18"/>
      <c r="B13" s="19"/>
      <c r="C13" s="19"/>
      <c r="D13" s="18"/>
      <c r="E13" s="19"/>
      <c r="F13" s="19"/>
      <c r="G13" s="18"/>
      <c r="H13" s="18"/>
      <c r="I13" s="18"/>
    </row>
    <row r="14">
      <c r="A14" s="18"/>
      <c r="B14" s="19"/>
      <c r="C14" s="19"/>
      <c r="D14" s="18"/>
      <c r="E14" s="19"/>
      <c r="F14" s="19"/>
      <c r="G14" s="18"/>
      <c r="H14" s="18"/>
      <c r="I14" s="18"/>
    </row>
    <row r="15">
      <c r="A15" s="18"/>
      <c r="B15" s="19"/>
      <c r="C15" s="19"/>
      <c r="D15" s="18"/>
      <c r="E15" s="19"/>
      <c r="F15" s="19"/>
      <c r="G15" s="18"/>
      <c r="H15" s="18"/>
      <c r="I15" s="18"/>
    </row>
    <row r="16">
      <c r="A16" s="18"/>
      <c r="B16" s="19"/>
      <c r="C16" s="19"/>
      <c r="D16" s="18"/>
      <c r="E16" s="19"/>
      <c r="F16" s="19"/>
      <c r="G16" s="18"/>
      <c r="H16" s="18"/>
      <c r="I16" s="18"/>
    </row>
    <row r="17">
      <c r="A17" s="18"/>
      <c r="B17" s="19"/>
      <c r="C17" s="19"/>
      <c r="D17" s="18"/>
      <c r="E17" s="19"/>
      <c r="F17" s="19"/>
      <c r="G17" s="18"/>
      <c r="H17" s="18"/>
      <c r="I17" s="18"/>
    </row>
    <row r="18">
      <c r="A18" s="18"/>
      <c r="B18" s="19"/>
      <c r="C18" s="19"/>
      <c r="D18" s="18"/>
      <c r="E18" s="19"/>
      <c r="F18" s="19"/>
      <c r="G18" s="18"/>
      <c r="H18" s="18"/>
      <c r="I18" s="18"/>
    </row>
    <row r="19">
      <c r="A19" s="18"/>
      <c r="B19" s="19"/>
      <c r="C19" s="19"/>
      <c r="D19" s="18"/>
      <c r="E19" s="19"/>
      <c r="F19" s="19"/>
      <c r="G19" s="18"/>
      <c r="H19" s="18"/>
      <c r="I19" s="18"/>
    </row>
    <row r="20">
      <c r="A20" s="18"/>
      <c r="B20" s="19"/>
      <c r="C20" s="19"/>
      <c r="D20" s="18"/>
      <c r="E20" s="19"/>
      <c r="F20" s="19"/>
      <c r="G20" s="18"/>
      <c r="H20" s="18"/>
      <c r="I20" s="18"/>
    </row>
    <row r="21" ht="15.75" customHeight="1">
      <c r="A21" s="18"/>
      <c r="B21" s="19"/>
      <c r="C21" s="19"/>
      <c r="D21" s="18"/>
      <c r="E21" s="19"/>
      <c r="F21" s="19"/>
      <c r="G21" s="18"/>
      <c r="H21" s="18"/>
      <c r="I21" s="18"/>
    </row>
    <row r="22" ht="15.75" customHeight="1">
      <c r="A22" s="18"/>
      <c r="B22" s="19"/>
      <c r="C22" s="19"/>
      <c r="D22" s="18"/>
      <c r="E22" s="19"/>
      <c r="F22" s="19"/>
      <c r="G22" s="18"/>
      <c r="H22" s="18"/>
      <c r="I22" s="18"/>
    </row>
    <row r="23" ht="15.75" customHeight="1">
      <c r="A23" s="18"/>
      <c r="B23" s="19"/>
      <c r="C23" s="19"/>
      <c r="D23" s="18"/>
      <c r="E23" s="19"/>
      <c r="F23" s="19"/>
      <c r="G23" s="18"/>
      <c r="H23" s="18"/>
      <c r="I23" s="18"/>
    </row>
    <row r="24" ht="15.75" customHeight="1">
      <c r="A24" s="18"/>
      <c r="B24" s="19"/>
      <c r="C24" s="19"/>
      <c r="D24" s="18"/>
      <c r="E24" s="19"/>
      <c r="F24" s="19"/>
      <c r="G24" s="18"/>
      <c r="H24" s="18"/>
      <c r="I24" s="18"/>
    </row>
    <row r="25" ht="15.75" customHeight="1">
      <c r="A25" s="18"/>
      <c r="B25" s="19"/>
      <c r="C25" s="19"/>
      <c r="D25" s="18"/>
      <c r="E25" s="19"/>
      <c r="F25" s="19"/>
      <c r="G25" s="18"/>
      <c r="H25" s="18"/>
      <c r="I25" s="18"/>
    </row>
    <row r="26" ht="15.75" customHeight="1">
      <c r="A26" s="18"/>
      <c r="B26" s="19"/>
      <c r="C26" s="19"/>
      <c r="D26" s="18"/>
      <c r="E26" s="19"/>
      <c r="F26" s="19"/>
      <c r="G26" s="18"/>
      <c r="H26" s="18"/>
      <c r="I26" s="18"/>
    </row>
    <row r="27" ht="15.75" customHeight="1">
      <c r="A27" s="18"/>
      <c r="B27" s="19"/>
      <c r="C27" s="19"/>
      <c r="D27" s="18"/>
      <c r="E27" s="19"/>
      <c r="F27" s="19"/>
      <c r="G27" s="18"/>
      <c r="H27" s="18"/>
      <c r="I27" s="18"/>
    </row>
    <row r="28" ht="15.75" customHeight="1">
      <c r="A28" s="18"/>
      <c r="B28" s="19"/>
      <c r="C28" s="19"/>
      <c r="D28" s="18"/>
      <c r="E28" s="19"/>
      <c r="F28" s="19"/>
      <c r="G28" s="18"/>
      <c r="H28" s="18"/>
      <c r="I28" s="18"/>
    </row>
    <row r="29" ht="15.75" customHeight="1">
      <c r="A29" s="18"/>
      <c r="B29" s="19"/>
      <c r="C29" s="19"/>
      <c r="D29" s="18"/>
      <c r="E29" s="19"/>
      <c r="F29" s="19"/>
      <c r="G29" s="18"/>
      <c r="H29" s="18"/>
      <c r="I29" s="18"/>
    </row>
    <row r="30" ht="15.75" customHeight="1">
      <c r="A30" s="18"/>
      <c r="B30" s="19"/>
      <c r="C30" s="19"/>
      <c r="D30" s="18"/>
      <c r="E30" s="19"/>
      <c r="F30" s="19"/>
      <c r="G30" s="18"/>
      <c r="H30" s="18"/>
      <c r="I30" s="18"/>
    </row>
    <row r="31" ht="15.75" customHeight="1">
      <c r="A31" s="18"/>
      <c r="B31" s="19"/>
      <c r="C31" s="19"/>
      <c r="D31" s="18"/>
      <c r="E31" s="19"/>
      <c r="F31" s="19"/>
      <c r="G31" s="18"/>
      <c r="H31" s="18"/>
      <c r="I31" s="18"/>
    </row>
    <row r="32" ht="15.75" customHeight="1">
      <c r="A32" s="18"/>
      <c r="B32" s="19"/>
      <c r="C32" s="19"/>
      <c r="D32" s="18"/>
      <c r="E32" s="19"/>
      <c r="F32" s="19"/>
      <c r="G32" s="18"/>
      <c r="H32" s="18"/>
      <c r="I32" s="18"/>
    </row>
    <row r="33" ht="15.75" customHeight="1">
      <c r="A33" s="18"/>
      <c r="B33" s="19"/>
      <c r="C33" s="19"/>
      <c r="D33" s="18"/>
      <c r="E33" s="19"/>
      <c r="F33" s="19"/>
      <c r="G33" s="18"/>
      <c r="H33" s="18"/>
      <c r="I33" s="18"/>
    </row>
    <row r="34" ht="15.75" customHeight="1">
      <c r="A34" s="18"/>
      <c r="B34" s="19"/>
      <c r="C34" s="19"/>
      <c r="D34" s="18"/>
      <c r="E34" s="19"/>
      <c r="F34" s="19"/>
      <c r="G34" s="18"/>
      <c r="H34" s="18"/>
      <c r="I34" s="18"/>
    </row>
    <row r="35" ht="15.75" customHeight="1">
      <c r="A35" s="18"/>
      <c r="B35" s="19"/>
      <c r="C35" s="19"/>
      <c r="D35" s="18"/>
      <c r="E35" s="19"/>
      <c r="F35" s="19"/>
      <c r="G35" s="18"/>
      <c r="H35" s="18"/>
      <c r="I35" s="18"/>
    </row>
    <row r="36" ht="15.75" customHeight="1">
      <c r="A36" s="18"/>
      <c r="B36" s="19"/>
      <c r="C36" s="19"/>
      <c r="D36" s="18"/>
      <c r="E36" s="19"/>
      <c r="F36" s="19"/>
      <c r="G36" s="18"/>
      <c r="H36" s="18"/>
      <c r="I36" s="18"/>
    </row>
    <row r="37" ht="15.75" customHeight="1">
      <c r="A37" s="18"/>
      <c r="B37" s="19"/>
      <c r="C37" s="19"/>
      <c r="D37" s="18"/>
      <c r="E37" s="19"/>
      <c r="F37" s="19"/>
      <c r="G37" s="18"/>
      <c r="H37" s="18"/>
      <c r="I37" s="18"/>
    </row>
    <row r="38" ht="15.75" customHeight="1">
      <c r="A38" s="18"/>
      <c r="B38" s="19"/>
      <c r="C38" s="19"/>
      <c r="D38" s="18"/>
      <c r="E38" s="19"/>
      <c r="F38" s="19"/>
      <c r="G38" s="18"/>
      <c r="H38" s="18"/>
      <c r="I38" s="18"/>
    </row>
    <row r="39" ht="15.75" customHeight="1">
      <c r="A39" s="18"/>
      <c r="B39" s="19"/>
      <c r="C39" s="19"/>
      <c r="D39" s="18"/>
      <c r="E39" s="19"/>
      <c r="F39" s="19"/>
      <c r="G39" s="18"/>
      <c r="H39" s="18"/>
      <c r="I39" s="18"/>
    </row>
    <row r="40" ht="15.75" customHeight="1">
      <c r="A40" s="18"/>
      <c r="B40" s="19"/>
      <c r="C40" s="19"/>
      <c r="D40" s="18"/>
      <c r="E40" s="19"/>
      <c r="F40" s="19"/>
      <c r="G40" s="18"/>
      <c r="H40" s="18"/>
      <c r="I40" s="18"/>
    </row>
    <row r="41" ht="15.75" customHeight="1">
      <c r="A41" s="18"/>
      <c r="B41" s="19"/>
      <c r="C41" s="19"/>
      <c r="D41" s="18"/>
      <c r="E41" s="19"/>
      <c r="F41" s="19"/>
      <c r="G41" s="18"/>
      <c r="H41" s="18"/>
      <c r="I41" s="18"/>
    </row>
    <row r="42" ht="15.75" customHeight="1">
      <c r="A42" s="18"/>
      <c r="B42" s="19"/>
      <c r="C42" s="19"/>
      <c r="D42" s="18"/>
      <c r="E42" s="19"/>
      <c r="F42" s="19"/>
      <c r="G42" s="18"/>
      <c r="H42" s="18"/>
      <c r="I42" s="18"/>
    </row>
    <row r="43" ht="15.75" customHeight="1">
      <c r="A43" s="18"/>
      <c r="B43" s="19"/>
      <c r="C43" s="19"/>
      <c r="D43" s="18"/>
      <c r="E43" s="19"/>
      <c r="F43" s="19"/>
      <c r="G43" s="18"/>
      <c r="H43" s="18"/>
      <c r="I43" s="18"/>
    </row>
    <row r="44" ht="15.75" customHeight="1">
      <c r="A44" s="18"/>
      <c r="B44" s="19"/>
      <c r="C44" s="19"/>
      <c r="D44" s="18"/>
      <c r="E44" s="19"/>
      <c r="F44" s="19"/>
      <c r="G44" s="18"/>
      <c r="H44" s="18"/>
      <c r="I44" s="18"/>
    </row>
    <row r="45" ht="15.75" customHeight="1">
      <c r="A45" s="18"/>
      <c r="B45" s="19"/>
      <c r="C45" s="19"/>
      <c r="D45" s="18"/>
      <c r="E45" s="19"/>
      <c r="F45" s="19"/>
      <c r="G45" s="18"/>
      <c r="H45" s="18"/>
      <c r="I45" s="18"/>
    </row>
    <row r="46" ht="15.75" customHeight="1">
      <c r="A46" s="18"/>
      <c r="B46" s="19"/>
      <c r="C46" s="19"/>
      <c r="D46" s="18"/>
      <c r="E46" s="19"/>
      <c r="F46" s="19"/>
      <c r="G46" s="18"/>
      <c r="H46" s="18"/>
      <c r="I46" s="18"/>
    </row>
    <row r="47" ht="15.75" customHeight="1">
      <c r="A47" s="18"/>
      <c r="B47" s="19"/>
      <c r="C47" s="19"/>
      <c r="D47" s="18"/>
      <c r="E47" s="19"/>
      <c r="F47" s="19"/>
      <c r="G47" s="18"/>
      <c r="H47" s="18"/>
      <c r="I47" s="18"/>
    </row>
    <row r="48" ht="15.75" customHeight="1">
      <c r="A48" s="18"/>
      <c r="B48" s="19"/>
      <c r="C48" s="19"/>
      <c r="D48" s="18"/>
      <c r="E48" s="19"/>
      <c r="F48" s="19"/>
      <c r="G48" s="18"/>
      <c r="H48" s="18"/>
      <c r="I48" s="18"/>
    </row>
    <row r="49" ht="15.75" customHeight="1">
      <c r="A49" s="18"/>
      <c r="B49" s="19"/>
      <c r="C49" s="19"/>
      <c r="D49" s="18"/>
      <c r="E49" s="19"/>
      <c r="F49" s="19"/>
      <c r="G49" s="18"/>
      <c r="H49" s="18"/>
      <c r="I49" s="18"/>
    </row>
    <row r="50" ht="15.75" customHeight="1">
      <c r="A50" s="18"/>
      <c r="B50" s="19"/>
      <c r="C50" s="19"/>
      <c r="D50" s="18"/>
      <c r="E50" s="19"/>
      <c r="F50" s="19"/>
      <c r="G50" s="18"/>
      <c r="H50" s="18"/>
      <c r="I50" s="18"/>
    </row>
    <row r="51" ht="15.75" customHeight="1">
      <c r="A51" s="18"/>
      <c r="B51" s="19"/>
      <c r="C51" s="19"/>
      <c r="D51" s="18"/>
      <c r="E51" s="19"/>
      <c r="F51" s="19"/>
      <c r="G51" s="18"/>
      <c r="H51" s="18"/>
      <c r="I51" s="18"/>
    </row>
    <row r="52" ht="15.75" customHeight="1">
      <c r="A52" s="18"/>
      <c r="B52" s="19"/>
      <c r="C52" s="19"/>
      <c r="D52" s="18"/>
      <c r="E52" s="19"/>
      <c r="F52" s="19"/>
      <c r="G52" s="18"/>
      <c r="H52" s="18"/>
      <c r="I52" s="18"/>
    </row>
    <row r="53" ht="15.75" customHeight="1">
      <c r="A53" s="18"/>
      <c r="B53" s="19"/>
      <c r="C53" s="19"/>
      <c r="D53" s="18"/>
      <c r="E53" s="19"/>
      <c r="F53" s="19"/>
      <c r="G53" s="18"/>
      <c r="H53" s="18"/>
      <c r="I53" s="18"/>
    </row>
    <row r="54" ht="15.75" customHeight="1">
      <c r="A54" s="18"/>
      <c r="B54" s="19"/>
      <c r="C54" s="19"/>
      <c r="D54" s="18"/>
      <c r="E54" s="19"/>
      <c r="F54" s="19"/>
      <c r="G54" s="18"/>
      <c r="H54" s="18"/>
      <c r="I54" s="18"/>
    </row>
    <row r="55" ht="15.75" customHeight="1">
      <c r="A55" s="18"/>
      <c r="B55" s="19"/>
      <c r="C55" s="19"/>
      <c r="D55" s="18"/>
      <c r="E55" s="19"/>
      <c r="F55" s="19"/>
      <c r="G55" s="18"/>
      <c r="H55" s="18"/>
      <c r="I55" s="18"/>
    </row>
    <row r="56" ht="15.75" customHeight="1">
      <c r="A56" s="18"/>
      <c r="B56" s="19"/>
      <c r="C56" s="19"/>
      <c r="D56" s="18"/>
      <c r="E56" s="19"/>
      <c r="F56" s="19"/>
      <c r="G56" s="18"/>
      <c r="H56" s="18"/>
      <c r="I56" s="18"/>
    </row>
    <row r="57" ht="15.75" customHeight="1">
      <c r="A57" s="18"/>
      <c r="B57" s="19"/>
      <c r="C57" s="19"/>
      <c r="D57" s="18"/>
      <c r="E57" s="19"/>
      <c r="F57" s="19"/>
      <c r="G57" s="18"/>
      <c r="H57" s="18"/>
      <c r="I57" s="18"/>
    </row>
    <row r="58" ht="15.75" customHeight="1">
      <c r="A58" s="18"/>
      <c r="B58" s="19"/>
      <c r="C58" s="19"/>
      <c r="D58" s="18"/>
      <c r="E58" s="19"/>
      <c r="F58" s="19"/>
      <c r="G58" s="18"/>
      <c r="H58" s="18"/>
      <c r="I58" s="18"/>
    </row>
    <row r="59" ht="15.75" customHeight="1">
      <c r="A59" s="18"/>
      <c r="B59" s="19"/>
      <c r="C59" s="19"/>
      <c r="D59" s="18"/>
      <c r="E59" s="19"/>
      <c r="F59" s="19"/>
      <c r="G59" s="18"/>
      <c r="H59" s="18"/>
      <c r="I59" s="18"/>
    </row>
    <row r="60" ht="15.75" customHeight="1">
      <c r="A60" s="18"/>
      <c r="B60" s="19"/>
      <c r="C60" s="19"/>
      <c r="D60" s="18"/>
      <c r="E60" s="19"/>
      <c r="F60" s="19"/>
      <c r="G60" s="18"/>
      <c r="H60" s="18"/>
      <c r="I60" s="18"/>
    </row>
    <row r="61" ht="15.75" customHeight="1">
      <c r="A61" s="18"/>
      <c r="B61" s="19"/>
      <c r="C61" s="19"/>
      <c r="D61" s="18"/>
      <c r="E61" s="19"/>
      <c r="F61" s="19"/>
      <c r="G61" s="18"/>
      <c r="H61" s="18"/>
      <c r="I61" s="18"/>
    </row>
    <row r="62" ht="15.75" customHeight="1">
      <c r="A62" s="18"/>
      <c r="B62" s="19"/>
      <c r="C62" s="19"/>
      <c r="D62" s="18"/>
      <c r="E62" s="19"/>
      <c r="F62" s="19"/>
      <c r="G62" s="18"/>
      <c r="H62" s="18"/>
      <c r="I62" s="18"/>
    </row>
    <row r="63" ht="15.75" customHeight="1">
      <c r="A63" s="18"/>
      <c r="B63" s="19"/>
      <c r="C63" s="19"/>
      <c r="D63" s="18"/>
      <c r="E63" s="19"/>
      <c r="F63" s="19"/>
      <c r="G63" s="18"/>
      <c r="H63" s="18"/>
      <c r="I63" s="18"/>
    </row>
    <row r="64" ht="15.75" customHeight="1">
      <c r="A64" s="18"/>
      <c r="B64" s="19"/>
      <c r="C64" s="19"/>
      <c r="D64" s="18"/>
      <c r="E64" s="19"/>
      <c r="F64" s="19"/>
      <c r="G64" s="18"/>
      <c r="H64" s="18"/>
      <c r="I64" s="18"/>
    </row>
    <row r="65" ht="15.75" customHeight="1">
      <c r="A65" s="18"/>
      <c r="B65" s="19"/>
      <c r="C65" s="19"/>
      <c r="D65" s="18"/>
      <c r="E65" s="19"/>
      <c r="F65" s="19"/>
      <c r="G65" s="18"/>
      <c r="H65" s="18"/>
      <c r="I65" s="18"/>
    </row>
    <row r="66" ht="15.75" customHeight="1">
      <c r="A66" s="18"/>
      <c r="B66" s="19"/>
      <c r="C66" s="19"/>
      <c r="D66" s="18"/>
      <c r="E66" s="19"/>
      <c r="F66" s="19"/>
      <c r="G66" s="18"/>
      <c r="H66" s="18"/>
      <c r="I66" s="18"/>
    </row>
    <row r="67" ht="15.75" customHeight="1">
      <c r="A67" s="18"/>
      <c r="B67" s="19"/>
      <c r="C67" s="19"/>
      <c r="D67" s="18"/>
      <c r="E67" s="19"/>
      <c r="F67" s="19"/>
      <c r="G67" s="18"/>
      <c r="H67" s="18"/>
      <c r="I67" s="18"/>
    </row>
    <row r="68" ht="15.75" customHeight="1">
      <c r="A68" s="18"/>
      <c r="B68" s="19"/>
      <c r="C68" s="19"/>
      <c r="D68" s="18"/>
      <c r="E68" s="19"/>
      <c r="F68" s="19"/>
      <c r="G68" s="18"/>
      <c r="H68" s="18"/>
      <c r="I68" s="18"/>
    </row>
    <row r="69" ht="15.75" customHeight="1">
      <c r="A69" s="18"/>
      <c r="B69" s="19"/>
      <c r="C69" s="19"/>
      <c r="D69" s="18"/>
      <c r="E69" s="19"/>
      <c r="F69" s="19"/>
      <c r="G69" s="18"/>
      <c r="H69" s="18"/>
      <c r="I69" s="18"/>
    </row>
    <row r="70" ht="15.75" customHeight="1">
      <c r="A70" s="18"/>
      <c r="B70" s="19"/>
      <c r="C70" s="19"/>
      <c r="D70" s="18"/>
      <c r="E70" s="19"/>
      <c r="F70" s="19"/>
      <c r="G70" s="18"/>
      <c r="H70" s="18"/>
      <c r="I70" s="18"/>
    </row>
    <row r="71" ht="15.75" customHeight="1">
      <c r="A71" s="18"/>
      <c r="B71" s="19"/>
      <c r="C71" s="19"/>
      <c r="D71" s="18"/>
      <c r="E71" s="19"/>
      <c r="F71" s="19"/>
      <c r="G71" s="18"/>
      <c r="H71" s="18"/>
      <c r="I71" s="18"/>
    </row>
    <row r="72" ht="15.75" customHeight="1">
      <c r="A72" s="18"/>
      <c r="B72" s="19"/>
      <c r="C72" s="19"/>
      <c r="D72" s="18"/>
      <c r="E72" s="19"/>
      <c r="F72" s="19"/>
      <c r="G72" s="18"/>
      <c r="H72" s="18"/>
      <c r="I72" s="18"/>
    </row>
    <row r="73" ht="15.75" customHeight="1">
      <c r="A73" s="18"/>
      <c r="B73" s="19"/>
      <c r="C73" s="19"/>
      <c r="D73" s="18"/>
      <c r="E73" s="19"/>
      <c r="F73" s="19"/>
      <c r="G73" s="18"/>
      <c r="H73" s="18"/>
      <c r="I73" s="18"/>
    </row>
    <row r="74" ht="15.75" customHeight="1">
      <c r="A74" s="18"/>
      <c r="B74" s="19"/>
      <c r="C74" s="19"/>
      <c r="D74" s="18"/>
      <c r="E74" s="19"/>
      <c r="F74" s="19"/>
      <c r="G74" s="18"/>
      <c r="H74" s="18"/>
      <c r="I74" s="18"/>
    </row>
    <row r="75" ht="15.75" customHeight="1">
      <c r="A75" s="18"/>
      <c r="B75" s="19"/>
      <c r="C75" s="19"/>
      <c r="D75" s="18"/>
      <c r="E75" s="19"/>
      <c r="F75" s="19"/>
      <c r="G75" s="18"/>
      <c r="H75" s="18"/>
      <c r="I75" s="18"/>
    </row>
    <row r="76" ht="15.75" customHeight="1">
      <c r="A76" s="18"/>
      <c r="B76" s="19"/>
      <c r="C76" s="19"/>
      <c r="D76" s="18"/>
      <c r="E76" s="19"/>
      <c r="F76" s="19"/>
      <c r="G76" s="18"/>
      <c r="H76" s="18"/>
      <c r="I76" s="18"/>
    </row>
    <row r="77" ht="15.75" customHeight="1">
      <c r="A77" s="18"/>
      <c r="B77" s="19"/>
      <c r="C77" s="19"/>
      <c r="D77" s="18"/>
      <c r="E77" s="19"/>
      <c r="F77" s="19"/>
      <c r="G77" s="18"/>
      <c r="H77" s="18"/>
      <c r="I77" s="18"/>
    </row>
    <row r="78" ht="15.75" customHeight="1">
      <c r="A78" s="18"/>
      <c r="B78" s="19"/>
      <c r="C78" s="19"/>
      <c r="D78" s="18"/>
      <c r="E78" s="19"/>
      <c r="F78" s="19"/>
      <c r="G78" s="18"/>
      <c r="H78" s="18"/>
      <c r="I78" s="18"/>
    </row>
    <row r="79" ht="15.75" customHeight="1">
      <c r="A79" s="18"/>
      <c r="B79" s="19"/>
      <c r="C79" s="19"/>
      <c r="D79" s="18"/>
      <c r="E79" s="19"/>
      <c r="F79" s="19"/>
      <c r="G79" s="18"/>
      <c r="H79" s="18"/>
      <c r="I79" s="18"/>
    </row>
    <row r="80" ht="15.75" customHeight="1">
      <c r="A80" s="18"/>
      <c r="B80" s="19"/>
      <c r="C80" s="19"/>
      <c r="D80" s="18"/>
      <c r="E80" s="19"/>
      <c r="F80" s="19"/>
      <c r="G80" s="18"/>
      <c r="H80" s="18"/>
      <c r="I80" s="18"/>
    </row>
    <row r="81" ht="15.75" customHeight="1">
      <c r="A81" s="18"/>
      <c r="B81" s="19"/>
      <c r="C81" s="19"/>
      <c r="D81" s="18"/>
      <c r="E81" s="19"/>
      <c r="F81" s="19"/>
      <c r="G81" s="18"/>
      <c r="H81" s="18"/>
      <c r="I81" s="18"/>
    </row>
    <row r="82" ht="15.75" customHeight="1">
      <c r="A82" s="18"/>
      <c r="B82" s="19"/>
      <c r="C82" s="19"/>
      <c r="D82" s="18"/>
      <c r="E82" s="19"/>
      <c r="F82" s="19"/>
      <c r="G82" s="18"/>
      <c r="H82" s="18"/>
      <c r="I82" s="18"/>
    </row>
    <row r="83" ht="15.75" customHeight="1">
      <c r="A83" s="18"/>
      <c r="B83" s="19"/>
      <c r="C83" s="19"/>
      <c r="D83" s="18"/>
      <c r="E83" s="19"/>
      <c r="F83" s="19"/>
      <c r="G83" s="18"/>
      <c r="H83" s="18"/>
      <c r="I83" s="18"/>
    </row>
    <row r="84" ht="15.75" customHeight="1">
      <c r="A84" s="18"/>
      <c r="B84" s="19"/>
      <c r="C84" s="19"/>
      <c r="D84" s="18"/>
      <c r="E84" s="19"/>
      <c r="F84" s="19"/>
      <c r="G84" s="18"/>
      <c r="H84" s="18"/>
      <c r="I84" s="18"/>
    </row>
    <row r="85" ht="15.75" customHeight="1">
      <c r="A85" s="18"/>
      <c r="B85" s="19"/>
      <c r="C85" s="19"/>
      <c r="D85" s="18"/>
      <c r="E85" s="19"/>
      <c r="F85" s="19"/>
      <c r="G85" s="18"/>
      <c r="H85" s="18"/>
      <c r="I85" s="18"/>
    </row>
    <row r="86" ht="15.75" customHeight="1">
      <c r="A86" s="18"/>
      <c r="B86" s="19"/>
      <c r="C86" s="19"/>
      <c r="D86" s="18"/>
      <c r="E86" s="19"/>
      <c r="F86" s="19"/>
      <c r="G86" s="18"/>
      <c r="H86" s="18"/>
      <c r="I86" s="18"/>
    </row>
    <row r="87" ht="15.75" customHeight="1">
      <c r="A87" s="18"/>
      <c r="B87" s="19"/>
      <c r="C87" s="19"/>
      <c r="D87" s="18"/>
      <c r="E87" s="19"/>
      <c r="F87" s="19"/>
      <c r="G87" s="18"/>
      <c r="H87" s="18"/>
      <c r="I87" s="18"/>
    </row>
    <row r="88" ht="15.75" customHeight="1">
      <c r="A88" s="18"/>
      <c r="B88" s="19"/>
      <c r="C88" s="19"/>
      <c r="D88" s="18"/>
      <c r="E88" s="19"/>
      <c r="F88" s="19"/>
      <c r="G88" s="18"/>
      <c r="H88" s="18"/>
      <c r="I88" s="18"/>
    </row>
    <row r="89" ht="15.75" customHeight="1">
      <c r="A89" s="18"/>
      <c r="B89" s="19"/>
      <c r="C89" s="19"/>
      <c r="D89" s="18"/>
      <c r="E89" s="19"/>
      <c r="F89" s="19"/>
      <c r="G89" s="18"/>
      <c r="H89" s="18"/>
      <c r="I89" s="18"/>
    </row>
    <row r="90" ht="15.75" customHeight="1">
      <c r="A90" s="18"/>
      <c r="B90" s="19"/>
      <c r="C90" s="19"/>
      <c r="D90" s="18"/>
      <c r="E90" s="19"/>
      <c r="F90" s="19"/>
      <c r="G90" s="18"/>
      <c r="H90" s="18"/>
      <c r="I90" s="18"/>
    </row>
    <row r="91" ht="15.75" customHeight="1">
      <c r="A91" s="18"/>
      <c r="B91" s="19"/>
      <c r="C91" s="19"/>
      <c r="D91" s="18"/>
      <c r="E91" s="19"/>
      <c r="F91" s="19"/>
      <c r="G91" s="18"/>
      <c r="H91" s="18"/>
      <c r="I91" s="18"/>
    </row>
    <row r="92" ht="15.75" customHeight="1">
      <c r="A92" s="18"/>
      <c r="B92" s="19"/>
      <c r="C92" s="19"/>
      <c r="D92" s="18"/>
      <c r="E92" s="19"/>
      <c r="F92" s="19"/>
      <c r="G92" s="18"/>
      <c r="H92" s="18"/>
      <c r="I92" s="18"/>
    </row>
    <row r="93" ht="15.75" customHeight="1">
      <c r="A93" s="18"/>
      <c r="B93" s="19"/>
      <c r="C93" s="19"/>
      <c r="D93" s="18"/>
      <c r="E93" s="19"/>
      <c r="F93" s="19"/>
      <c r="G93" s="18"/>
      <c r="H93" s="18"/>
      <c r="I93" s="18"/>
    </row>
    <row r="94" ht="15.75" customHeight="1">
      <c r="A94" s="18"/>
      <c r="B94" s="19"/>
      <c r="C94" s="19"/>
      <c r="D94" s="18"/>
      <c r="E94" s="19"/>
      <c r="F94" s="19"/>
      <c r="G94" s="18"/>
      <c r="H94" s="18"/>
      <c r="I94" s="18"/>
    </row>
    <row r="95" ht="15.75" customHeight="1">
      <c r="A95" s="18"/>
      <c r="B95" s="19"/>
      <c r="C95" s="19"/>
      <c r="D95" s="18"/>
      <c r="E95" s="19"/>
      <c r="F95" s="19"/>
      <c r="G95" s="18"/>
      <c r="H95" s="18"/>
      <c r="I95" s="18"/>
    </row>
    <row r="96" ht="15.75" customHeight="1">
      <c r="A96" s="18"/>
      <c r="B96" s="19"/>
      <c r="C96" s="19"/>
      <c r="D96" s="18"/>
      <c r="E96" s="19"/>
      <c r="F96" s="19"/>
      <c r="G96" s="18"/>
      <c r="H96" s="18"/>
      <c r="I96" s="18"/>
    </row>
    <row r="97" ht="15.75" customHeight="1">
      <c r="A97" s="18"/>
      <c r="B97" s="19"/>
      <c r="C97" s="19"/>
      <c r="D97" s="18"/>
      <c r="E97" s="19"/>
      <c r="F97" s="19"/>
      <c r="G97" s="18"/>
      <c r="H97" s="18"/>
      <c r="I97" s="18"/>
    </row>
    <row r="98" ht="15.75" customHeight="1">
      <c r="A98" s="18"/>
      <c r="B98" s="19"/>
      <c r="C98" s="19"/>
      <c r="D98" s="18"/>
      <c r="E98" s="19"/>
      <c r="F98" s="19"/>
      <c r="G98" s="18"/>
      <c r="H98" s="18"/>
      <c r="I98" s="18"/>
    </row>
    <row r="99" ht="15.75" customHeight="1">
      <c r="A99" s="18"/>
      <c r="B99" s="19"/>
      <c r="C99" s="19"/>
      <c r="D99" s="18"/>
      <c r="E99" s="19"/>
      <c r="F99" s="19"/>
      <c r="G99" s="18"/>
      <c r="H99" s="18"/>
      <c r="I99" s="18"/>
    </row>
    <row r="100" ht="15.75" customHeight="1">
      <c r="A100" s="18"/>
      <c r="B100" s="19"/>
      <c r="C100" s="19"/>
      <c r="D100" s="18"/>
      <c r="E100" s="19"/>
      <c r="F100" s="19"/>
      <c r="G100" s="18"/>
      <c r="H100" s="18"/>
      <c r="I100" s="18"/>
    </row>
    <row r="101" ht="15.75" customHeight="1">
      <c r="A101" s="18"/>
      <c r="B101" s="19"/>
      <c r="C101" s="19"/>
      <c r="D101" s="18"/>
      <c r="E101" s="19"/>
      <c r="F101" s="19"/>
      <c r="G101" s="18"/>
      <c r="H101" s="18"/>
      <c r="I101" s="18"/>
    </row>
    <row r="102" ht="15.75" customHeight="1">
      <c r="A102" s="18"/>
      <c r="B102" s="19"/>
      <c r="C102" s="19"/>
      <c r="D102" s="18"/>
      <c r="E102" s="19"/>
      <c r="F102" s="19"/>
      <c r="G102" s="18"/>
      <c r="H102" s="18"/>
      <c r="I102" s="18"/>
    </row>
    <row r="103" ht="15.75" customHeight="1">
      <c r="A103" s="18"/>
      <c r="B103" s="19"/>
      <c r="C103" s="19"/>
      <c r="D103" s="18"/>
      <c r="E103" s="19"/>
      <c r="F103" s="19"/>
      <c r="G103" s="18"/>
      <c r="H103" s="18"/>
      <c r="I103" s="18"/>
    </row>
    <row r="104" ht="15.75" customHeight="1">
      <c r="A104" s="18"/>
      <c r="B104" s="19"/>
      <c r="C104" s="19"/>
      <c r="D104" s="18"/>
      <c r="E104" s="19"/>
      <c r="F104" s="19"/>
      <c r="G104" s="18"/>
      <c r="H104" s="18"/>
      <c r="I104" s="18"/>
    </row>
    <row r="105" ht="15.75" customHeight="1">
      <c r="A105" s="18"/>
      <c r="B105" s="19"/>
      <c r="C105" s="19"/>
      <c r="D105" s="18"/>
      <c r="E105" s="19"/>
      <c r="F105" s="19"/>
      <c r="G105" s="18"/>
      <c r="H105" s="18"/>
      <c r="I105" s="18"/>
    </row>
    <row r="106" ht="15.75" customHeight="1">
      <c r="A106" s="18"/>
      <c r="B106" s="19"/>
      <c r="C106" s="19"/>
      <c r="D106" s="18"/>
      <c r="E106" s="19"/>
      <c r="F106" s="19"/>
      <c r="G106" s="18"/>
      <c r="H106" s="18"/>
      <c r="I106" s="18"/>
    </row>
    <row r="107" ht="15.75" customHeight="1">
      <c r="A107" s="18"/>
      <c r="B107" s="19"/>
      <c r="C107" s="19"/>
      <c r="D107" s="18"/>
      <c r="E107" s="19"/>
      <c r="F107" s="19"/>
      <c r="G107" s="18"/>
      <c r="H107" s="18"/>
      <c r="I107" s="18"/>
    </row>
    <row r="108" ht="15.75" customHeight="1">
      <c r="A108" s="18"/>
      <c r="B108" s="19"/>
      <c r="C108" s="19"/>
      <c r="D108" s="18"/>
      <c r="E108" s="19"/>
      <c r="F108" s="19"/>
      <c r="G108" s="18"/>
      <c r="H108" s="18"/>
      <c r="I108" s="18"/>
    </row>
    <row r="109" ht="15.75" customHeight="1">
      <c r="A109" s="18"/>
      <c r="B109" s="19"/>
      <c r="C109" s="19"/>
      <c r="D109" s="18"/>
      <c r="E109" s="19"/>
      <c r="F109" s="19"/>
      <c r="G109" s="18"/>
      <c r="H109" s="18"/>
      <c r="I109" s="18"/>
    </row>
    <row r="110" ht="15.75" customHeight="1">
      <c r="A110" s="18"/>
      <c r="B110" s="19"/>
      <c r="C110" s="19"/>
      <c r="D110" s="18"/>
      <c r="E110" s="19"/>
      <c r="F110" s="19"/>
      <c r="G110" s="18"/>
      <c r="H110" s="18"/>
      <c r="I110" s="18"/>
    </row>
    <row r="111" ht="15.75" customHeight="1">
      <c r="A111" s="18"/>
      <c r="B111" s="19"/>
      <c r="C111" s="19"/>
      <c r="D111" s="18"/>
      <c r="E111" s="19"/>
      <c r="F111" s="19"/>
      <c r="G111" s="18"/>
      <c r="H111" s="18"/>
      <c r="I111" s="18"/>
    </row>
    <row r="112" ht="15.75" customHeight="1">
      <c r="A112" s="18"/>
      <c r="B112" s="19"/>
      <c r="C112" s="19"/>
      <c r="D112" s="18"/>
      <c r="E112" s="19"/>
      <c r="F112" s="19"/>
      <c r="G112" s="18"/>
      <c r="H112" s="18"/>
      <c r="I112" s="18"/>
    </row>
    <row r="113" ht="15.75" customHeight="1">
      <c r="A113" s="18"/>
      <c r="B113" s="19"/>
      <c r="C113" s="19"/>
      <c r="D113" s="18"/>
      <c r="E113" s="19"/>
      <c r="F113" s="19"/>
      <c r="G113" s="18"/>
      <c r="H113" s="18"/>
      <c r="I113" s="18"/>
    </row>
    <row r="114" ht="15.75" customHeight="1">
      <c r="A114" s="18"/>
      <c r="B114" s="19"/>
      <c r="C114" s="19"/>
      <c r="D114" s="18"/>
      <c r="E114" s="19"/>
      <c r="F114" s="19"/>
      <c r="G114" s="18"/>
      <c r="H114" s="18"/>
      <c r="I114" s="18"/>
    </row>
    <row r="115" ht="15.75" customHeight="1">
      <c r="A115" s="18"/>
      <c r="B115" s="19"/>
      <c r="C115" s="19"/>
      <c r="D115" s="18"/>
      <c r="E115" s="19"/>
      <c r="F115" s="19"/>
      <c r="G115" s="18"/>
      <c r="H115" s="18"/>
      <c r="I115" s="18"/>
    </row>
    <row r="116" ht="15.75" customHeight="1">
      <c r="A116" s="18"/>
      <c r="B116" s="19"/>
      <c r="C116" s="19"/>
      <c r="D116" s="18"/>
      <c r="E116" s="19"/>
      <c r="F116" s="19"/>
      <c r="G116" s="18"/>
      <c r="H116" s="18"/>
      <c r="I116" s="18"/>
    </row>
    <row r="117" ht="15.75" customHeight="1">
      <c r="A117" s="18"/>
      <c r="B117" s="19"/>
      <c r="C117" s="19"/>
      <c r="D117" s="18"/>
      <c r="E117" s="19"/>
      <c r="F117" s="19"/>
      <c r="G117" s="18"/>
      <c r="H117" s="18"/>
      <c r="I117" s="18"/>
    </row>
    <row r="118" ht="15.75" customHeight="1">
      <c r="A118" s="18"/>
      <c r="B118" s="19"/>
      <c r="C118" s="19"/>
      <c r="D118" s="18"/>
      <c r="E118" s="19"/>
      <c r="F118" s="19"/>
      <c r="G118" s="18"/>
      <c r="H118" s="18"/>
      <c r="I118" s="18"/>
    </row>
    <row r="119" ht="15.75" customHeight="1">
      <c r="A119" s="18"/>
      <c r="B119" s="19"/>
      <c r="C119" s="19"/>
      <c r="D119" s="18"/>
      <c r="E119" s="19"/>
      <c r="F119" s="19"/>
      <c r="G119" s="18"/>
      <c r="H119" s="18"/>
      <c r="I119" s="18"/>
    </row>
    <row r="120" ht="15.75" customHeight="1">
      <c r="A120" s="18"/>
      <c r="B120" s="19"/>
      <c r="C120" s="19"/>
      <c r="D120" s="18"/>
      <c r="E120" s="19"/>
      <c r="F120" s="19"/>
      <c r="G120" s="18"/>
      <c r="H120" s="18"/>
      <c r="I120" s="18"/>
    </row>
    <row r="121" ht="15.75" customHeight="1">
      <c r="A121" s="18"/>
      <c r="B121" s="19"/>
      <c r="C121" s="19"/>
      <c r="D121" s="18"/>
      <c r="E121" s="19"/>
      <c r="F121" s="19"/>
      <c r="G121" s="18"/>
      <c r="H121" s="18"/>
      <c r="I121" s="18"/>
    </row>
    <row r="122" ht="15.75" customHeight="1">
      <c r="A122" s="18"/>
      <c r="B122" s="19"/>
      <c r="C122" s="19"/>
      <c r="D122" s="18"/>
      <c r="E122" s="19"/>
      <c r="F122" s="19"/>
      <c r="G122" s="18"/>
      <c r="H122" s="18"/>
      <c r="I122" s="18"/>
    </row>
    <row r="123" ht="15.75" customHeight="1">
      <c r="A123" s="18"/>
      <c r="B123" s="19"/>
      <c r="C123" s="19"/>
      <c r="D123" s="18"/>
      <c r="E123" s="19"/>
      <c r="F123" s="19"/>
      <c r="G123" s="18"/>
      <c r="H123" s="18"/>
      <c r="I123" s="18"/>
    </row>
    <row r="124" ht="15.75" customHeight="1">
      <c r="A124" s="18"/>
      <c r="B124" s="19"/>
      <c r="C124" s="19"/>
      <c r="D124" s="18"/>
      <c r="E124" s="19"/>
      <c r="F124" s="19"/>
      <c r="G124" s="18"/>
      <c r="H124" s="18"/>
      <c r="I124" s="18"/>
    </row>
    <row r="125" ht="15.75" customHeight="1">
      <c r="A125" s="18"/>
      <c r="B125" s="19"/>
      <c r="C125" s="19"/>
      <c r="D125" s="18"/>
      <c r="E125" s="19"/>
      <c r="F125" s="19"/>
      <c r="G125" s="18"/>
      <c r="H125" s="18"/>
      <c r="I125" s="18"/>
    </row>
    <row r="126" ht="15.75" customHeight="1">
      <c r="A126" s="18"/>
      <c r="B126" s="19"/>
      <c r="C126" s="19"/>
      <c r="D126" s="18"/>
      <c r="E126" s="19"/>
      <c r="F126" s="19"/>
      <c r="G126" s="18"/>
      <c r="H126" s="18"/>
      <c r="I126" s="18"/>
    </row>
    <row r="127" ht="15.75" customHeight="1">
      <c r="A127" s="18"/>
      <c r="B127" s="19"/>
      <c r="C127" s="19"/>
      <c r="D127" s="18"/>
      <c r="E127" s="19"/>
      <c r="F127" s="19"/>
      <c r="G127" s="18"/>
      <c r="H127" s="18"/>
      <c r="I127" s="18"/>
    </row>
    <row r="128" ht="15.75" customHeight="1">
      <c r="A128" s="18"/>
      <c r="B128" s="19"/>
      <c r="C128" s="19"/>
      <c r="D128" s="18"/>
      <c r="E128" s="19"/>
      <c r="F128" s="19"/>
      <c r="G128" s="18"/>
      <c r="H128" s="18"/>
      <c r="I128" s="18"/>
    </row>
    <row r="129" ht="15.75" customHeight="1">
      <c r="A129" s="18"/>
      <c r="B129" s="19"/>
      <c r="C129" s="19"/>
      <c r="D129" s="18"/>
      <c r="E129" s="19"/>
      <c r="F129" s="19"/>
      <c r="G129" s="18"/>
      <c r="H129" s="18"/>
      <c r="I129" s="18"/>
    </row>
    <row r="130" ht="15.75" customHeight="1">
      <c r="A130" s="18"/>
      <c r="B130" s="19"/>
      <c r="C130" s="19"/>
      <c r="D130" s="18"/>
      <c r="E130" s="19"/>
      <c r="F130" s="19"/>
      <c r="G130" s="18"/>
      <c r="H130" s="18"/>
      <c r="I130" s="18"/>
    </row>
    <row r="131" ht="15.75" customHeight="1">
      <c r="A131" s="18"/>
      <c r="B131" s="19"/>
      <c r="C131" s="19"/>
      <c r="D131" s="18"/>
      <c r="E131" s="19"/>
      <c r="F131" s="19"/>
      <c r="G131" s="18"/>
      <c r="H131" s="18"/>
      <c r="I131" s="18"/>
    </row>
    <row r="132" ht="15.75" customHeight="1">
      <c r="A132" s="18"/>
      <c r="B132" s="19"/>
      <c r="C132" s="19"/>
      <c r="D132" s="18"/>
      <c r="E132" s="19"/>
      <c r="F132" s="19"/>
      <c r="G132" s="18"/>
      <c r="H132" s="18"/>
      <c r="I132" s="18"/>
    </row>
    <row r="133" ht="15.75" customHeight="1">
      <c r="A133" s="18"/>
      <c r="B133" s="19"/>
      <c r="C133" s="19"/>
      <c r="D133" s="18"/>
      <c r="E133" s="19"/>
      <c r="F133" s="19"/>
      <c r="G133" s="18"/>
      <c r="H133" s="18"/>
      <c r="I133" s="18"/>
    </row>
    <row r="134" ht="15.75" customHeight="1">
      <c r="A134" s="18"/>
      <c r="B134" s="19"/>
      <c r="C134" s="19"/>
      <c r="D134" s="18"/>
      <c r="E134" s="19"/>
      <c r="F134" s="19"/>
      <c r="G134" s="18"/>
      <c r="H134" s="18"/>
      <c r="I134" s="18"/>
    </row>
    <row r="135" ht="15.75" customHeight="1">
      <c r="A135" s="18"/>
      <c r="B135" s="19"/>
      <c r="C135" s="19"/>
      <c r="D135" s="18"/>
      <c r="E135" s="19"/>
      <c r="F135" s="19"/>
      <c r="G135" s="18"/>
      <c r="H135" s="18"/>
      <c r="I135" s="18"/>
    </row>
    <row r="136" ht="15.75" customHeight="1">
      <c r="A136" s="18"/>
      <c r="B136" s="19"/>
      <c r="C136" s="19"/>
      <c r="D136" s="18"/>
      <c r="E136" s="19"/>
      <c r="F136" s="19"/>
      <c r="G136" s="18"/>
      <c r="H136" s="18"/>
      <c r="I136" s="18"/>
    </row>
    <row r="137" ht="15.75" customHeight="1">
      <c r="A137" s="18"/>
      <c r="B137" s="19"/>
      <c r="C137" s="19"/>
      <c r="D137" s="18"/>
      <c r="E137" s="19"/>
      <c r="F137" s="19"/>
      <c r="G137" s="18"/>
      <c r="H137" s="18"/>
      <c r="I137" s="18"/>
    </row>
    <row r="138" ht="15.75" customHeight="1">
      <c r="A138" s="18"/>
      <c r="B138" s="19"/>
      <c r="C138" s="19"/>
      <c r="D138" s="18"/>
      <c r="E138" s="19"/>
      <c r="F138" s="19"/>
      <c r="G138" s="18"/>
      <c r="H138" s="18"/>
      <c r="I138" s="18"/>
    </row>
    <row r="139" ht="15.75" customHeight="1">
      <c r="A139" s="18"/>
      <c r="B139" s="19"/>
      <c r="C139" s="19"/>
      <c r="D139" s="18"/>
      <c r="E139" s="19"/>
      <c r="F139" s="19"/>
      <c r="G139" s="18"/>
      <c r="H139" s="18"/>
      <c r="I139" s="18"/>
    </row>
    <row r="140" ht="15.75" customHeight="1">
      <c r="A140" s="18"/>
      <c r="B140" s="19"/>
      <c r="C140" s="19"/>
      <c r="D140" s="18"/>
      <c r="E140" s="19"/>
      <c r="F140" s="19"/>
      <c r="G140" s="18"/>
      <c r="H140" s="18"/>
      <c r="I140" s="18"/>
    </row>
    <row r="141" ht="15.75" customHeight="1">
      <c r="A141" s="18"/>
      <c r="B141" s="19"/>
      <c r="C141" s="19"/>
      <c r="D141" s="18"/>
      <c r="E141" s="19"/>
      <c r="F141" s="19"/>
      <c r="G141" s="18"/>
      <c r="H141" s="18"/>
      <c r="I141" s="18"/>
    </row>
    <row r="142" ht="15.75" customHeight="1">
      <c r="A142" s="18"/>
      <c r="B142" s="19"/>
      <c r="C142" s="19"/>
      <c r="D142" s="18"/>
      <c r="E142" s="19"/>
      <c r="F142" s="19"/>
      <c r="G142" s="18"/>
      <c r="H142" s="18"/>
      <c r="I142" s="18"/>
    </row>
    <row r="143" ht="15.75" customHeight="1">
      <c r="A143" s="18"/>
      <c r="B143" s="19"/>
      <c r="C143" s="19"/>
      <c r="D143" s="18"/>
      <c r="E143" s="19"/>
      <c r="F143" s="19"/>
      <c r="G143" s="18"/>
      <c r="H143" s="18"/>
      <c r="I143" s="18"/>
    </row>
    <row r="144" ht="15.75" customHeight="1">
      <c r="A144" s="18"/>
      <c r="B144" s="19"/>
      <c r="C144" s="19"/>
      <c r="D144" s="18"/>
      <c r="E144" s="19"/>
      <c r="F144" s="19"/>
      <c r="G144" s="18"/>
      <c r="H144" s="18"/>
      <c r="I144" s="18"/>
    </row>
    <row r="145" ht="15.75" customHeight="1">
      <c r="A145" s="18"/>
      <c r="B145" s="19"/>
      <c r="C145" s="19"/>
      <c r="D145" s="18"/>
      <c r="E145" s="19"/>
      <c r="F145" s="19"/>
      <c r="G145" s="18"/>
      <c r="H145" s="18"/>
      <c r="I145" s="18"/>
    </row>
    <row r="146" ht="15.75" customHeight="1">
      <c r="A146" s="18"/>
      <c r="B146" s="19"/>
      <c r="C146" s="19"/>
      <c r="D146" s="18"/>
      <c r="E146" s="19"/>
      <c r="F146" s="19"/>
      <c r="G146" s="18"/>
      <c r="H146" s="18"/>
      <c r="I146" s="18"/>
    </row>
    <row r="147" ht="15.75" customHeight="1">
      <c r="A147" s="18"/>
      <c r="B147" s="19"/>
      <c r="C147" s="19"/>
      <c r="D147" s="18"/>
      <c r="E147" s="19"/>
      <c r="F147" s="19"/>
      <c r="G147" s="18"/>
      <c r="H147" s="18"/>
      <c r="I147" s="18"/>
    </row>
    <row r="148" ht="15.75" customHeight="1">
      <c r="A148" s="18"/>
      <c r="B148" s="19"/>
      <c r="C148" s="19"/>
      <c r="D148" s="18"/>
      <c r="E148" s="19"/>
      <c r="F148" s="19"/>
      <c r="G148" s="18"/>
      <c r="H148" s="18"/>
      <c r="I148" s="18"/>
    </row>
    <row r="149" ht="15.75" customHeight="1">
      <c r="A149" s="18"/>
      <c r="B149" s="19"/>
      <c r="C149" s="19"/>
      <c r="D149" s="18"/>
      <c r="E149" s="19"/>
      <c r="F149" s="19"/>
      <c r="G149" s="18"/>
      <c r="H149" s="18"/>
      <c r="I149" s="18"/>
    </row>
    <row r="150" ht="15.75" customHeight="1">
      <c r="A150" s="18"/>
      <c r="B150" s="19"/>
      <c r="C150" s="19"/>
      <c r="D150" s="18"/>
      <c r="E150" s="19"/>
      <c r="F150" s="19"/>
      <c r="G150" s="18"/>
      <c r="H150" s="18"/>
      <c r="I150" s="18"/>
    </row>
    <row r="151" ht="15.75" customHeight="1">
      <c r="A151" s="18"/>
      <c r="B151" s="19"/>
      <c r="C151" s="19"/>
      <c r="D151" s="18"/>
      <c r="E151" s="19"/>
      <c r="F151" s="19"/>
      <c r="G151" s="18"/>
      <c r="H151" s="18"/>
      <c r="I151" s="18"/>
    </row>
    <row r="152" ht="15.75" customHeight="1">
      <c r="A152" s="18"/>
      <c r="B152" s="19"/>
      <c r="C152" s="19"/>
      <c r="D152" s="18"/>
      <c r="E152" s="19"/>
      <c r="F152" s="19"/>
      <c r="G152" s="18"/>
      <c r="H152" s="18"/>
      <c r="I152" s="18"/>
    </row>
    <row r="153" ht="15.75" customHeight="1">
      <c r="A153" s="18"/>
      <c r="B153" s="19"/>
      <c r="C153" s="19"/>
      <c r="D153" s="18"/>
      <c r="E153" s="19"/>
      <c r="F153" s="19"/>
      <c r="G153" s="18"/>
      <c r="H153" s="18"/>
      <c r="I153" s="18"/>
    </row>
    <row r="154" ht="15.75" customHeight="1">
      <c r="A154" s="18"/>
      <c r="B154" s="19"/>
      <c r="C154" s="19"/>
      <c r="D154" s="18"/>
      <c r="E154" s="19"/>
      <c r="F154" s="19"/>
      <c r="G154" s="18"/>
      <c r="H154" s="18"/>
      <c r="I154" s="18"/>
    </row>
    <row r="155" ht="15.75" customHeight="1">
      <c r="A155" s="18"/>
      <c r="B155" s="19"/>
      <c r="C155" s="19"/>
      <c r="D155" s="18"/>
      <c r="E155" s="19"/>
      <c r="F155" s="19"/>
      <c r="G155" s="18"/>
      <c r="H155" s="18"/>
      <c r="I155" s="18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4:I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18.0"/>
    <col customWidth="1" min="3" max="4" width="20.0"/>
    <col customWidth="1" min="5" max="5" width="14.0"/>
    <col customWidth="1" min="6" max="6" width="12.0"/>
    <col customWidth="1" min="7" max="7" width="14.0"/>
    <col customWidth="1" min="8" max="8" width="12.0"/>
    <col customWidth="1" min="9" max="9" width="18.0"/>
    <col customWidth="1" min="10" max="10" width="10.0"/>
    <col customWidth="1" min="11" max="11" width="12.0"/>
    <col customWidth="1" min="12" max="26" width="8.71"/>
  </cols>
  <sheetData>
    <row r="1" ht="27.75" customHeight="1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5" t="s">
        <v>79</v>
      </c>
      <c r="B2" s="2"/>
      <c r="C2" s="2"/>
      <c r="D2" s="2"/>
      <c r="E2" s="2"/>
      <c r="F2" s="2"/>
      <c r="G2" s="2"/>
      <c r="H2" s="2"/>
      <c r="I2" s="2"/>
      <c r="J2" s="2"/>
      <c r="K2" s="3"/>
    </row>
    <row r="4">
      <c r="A4" s="6" t="s">
        <v>80</v>
      </c>
    </row>
    <row r="5">
      <c r="A5" s="7" t="s">
        <v>3</v>
      </c>
      <c r="B5" s="7" t="s">
        <v>81</v>
      </c>
      <c r="C5" s="7" t="s">
        <v>82</v>
      </c>
      <c r="D5" s="7" t="s">
        <v>83</v>
      </c>
      <c r="E5" s="7" t="s">
        <v>84</v>
      </c>
      <c r="F5" s="7" t="s">
        <v>85</v>
      </c>
      <c r="G5" s="7" t="s">
        <v>86</v>
      </c>
      <c r="H5" s="7" t="s">
        <v>87</v>
      </c>
      <c r="I5" s="7" t="s">
        <v>88</v>
      </c>
      <c r="J5" s="7" t="s">
        <v>89</v>
      </c>
      <c r="K5" s="7" t="s">
        <v>90</v>
      </c>
    </row>
    <row r="6">
      <c r="A6" s="18">
        <v>0.0</v>
      </c>
      <c r="B6" s="11">
        <f>SUMIFS(PC_Semanal!$B$6:$B$205,PC_Semanal!$A$6:$A$205,$A6)</f>
        <v>0</v>
      </c>
      <c r="C6" s="11">
        <f>SUMIFS(PC_Semanal!$C$6:$C$205,PC_Semanal!$A$6:$A$205,$A6)</f>
        <v>0</v>
      </c>
      <c r="D6" s="11">
        <f>SUMIFS(PC_Semanal!$D$6:$D$205,PC_Semanal!$A$6:$A$205,$A6)</f>
        <v>0</v>
      </c>
      <c r="E6" s="11">
        <f>SUMIFS(PC_Semanal!$E$6:$E$205,PC_Semanal!$A$6:$A$205,$A6)</f>
        <v>0</v>
      </c>
      <c r="F6" s="11">
        <f>SUMIFS(PC_Semanal!$F$6:$F$205,PC_Semanal!$A$6:$A$205,$A6)</f>
        <v>0</v>
      </c>
      <c r="G6" s="11">
        <f>SUMIFS(PC_Semanal!$G$6:$G$205,PC_Semanal!$A$6:$A$205,$A6)</f>
        <v>0</v>
      </c>
      <c r="H6" s="11">
        <f>SUMIFS(PC_Semanal!$H$6:$H$205,PC_Semanal!$A$6:$A$205,$A6)</f>
        <v>0</v>
      </c>
      <c r="I6" s="32" t="str">
        <f t="shared" ref="I6:I21" si="1">IF($K6=0,"-", $J6/$K6)</f>
        <v>-</v>
      </c>
      <c r="J6" s="20">
        <f>COUNTIFS(PC_Semanal!$K$6:$K$205,"Verde",PC_Semanal!$A$6:$A$205,$A6)</f>
        <v>0</v>
      </c>
      <c r="K6" s="20">
        <f>COUNTIFS(PC_Semanal!$A$6:$A$205,$A6,PC_Semanal!$I$6:$I$205,"&lt;&gt;")</f>
        <v>0</v>
      </c>
    </row>
    <row r="7">
      <c r="A7" s="18">
        <v>1.0</v>
      </c>
      <c r="B7" s="11">
        <f>SUMIFS(PC_Semanal!$B$6:$B$205,PC_Semanal!$A$6:$A$205,$A7)</f>
        <v>0</v>
      </c>
      <c r="C7" s="11">
        <f>SUMIFS(PC_Semanal!$C$6:$C$205,PC_Semanal!$A$6:$A$205,$A7)</f>
        <v>0</v>
      </c>
      <c r="D7" s="11">
        <f>SUMIFS(PC_Semanal!$D$6:$D$205,PC_Semanal!$A$6:$A$205,$A7)</f>
        <v>0</v>
      </c>
      <c r="E7" s="11">
        <f>SUMIFS(PC_Semanal!$E$6:$E$205,PC_Semanal!$A$6:$A$205,$A7)</f>
        <v>0</v>
      </c>
      <c r="F7" s="11">
        <f>SUMIFS(PC_Semanal!$F$6:$F$205,PC_Semanal!$A$6:$A$205,$A7)</f>
        <v>0</v>
      </c>
      <c r="G7" s="11">
        <f>SUMIFS(PC_Semanal!$G$6:$G$205,PC_Semanal!$A$6:$A$205,$A7)</f>
        <v>0</v>
      </c>
      <c r="H7" s="11">
        <f>SUMIFS(PC_Semanal!$H$6:$H$205,PC_Semanal!$A$6:$A$205,$A7)</f>
        <v>0</v>
      </c>
      <c r="I7" s="32">
        <f t="shared" si="1"/>
        <v>0</v>
      </c>
      <c r="J7" s="20">
        <f>COUNTIFS(PC_Semanal!$K$6:$K$205,"Verde",PC_Semanal!$A$6:$A$205,$A7)</f>
        <v>0</v>
      </c>
      <c r="K7" s="20">
        <f>COUNTIFS(PC_Semanal!$A$6:$A$205,$A7,PC_Semanal!$I$6:$I$205,"&lt;&gt;")</f>
        <v>21</v>
      </c>
    </row>
    <row r="8">
      <c r="A8" s="18">
        <v>2.0</v>
      </c>
      <c r="B8" s="11">
        <f>SUMIFS(PC_Semanal!$B$6:$B$205,PC_Semanal!$A$6:$A$205,$A8)</f>
        <v>0</v>
      </c>
      <c r="C8" s="11">
        <f>SUMIFS(PC_Semanal!$C$6:$C$205,PC_Semanal!$A$6:$A$205,$A8)</f>
        <v>0</v>
      </c>
      <c r="D8" s="11">
        <f>SUMIFS(PC_Semanal!$D$6:$D$205,PC_Semanal!$A$6:$A$205,$A8)</f>
        <v>0</v>
      </c>
      <c r="E8" s="11">
        <f>SUMIFS(PC_Semanal!$E$6:$E$205,PC_Semanal!$A$6:$A$205,$A8)</f>
        <v>0</v>
      </c>
      <c r="F8" s="11">
        <f>SUMIFS(PC_Semanal!$F$6:$F$205,PC_Semanal!$A$6:$A$205,$A8)</f>
        <v>0</v>
      </c>
      <c r="G8" s="11">
        <f>SUMIFS(PC_Semanal!$G$6:$G$205,PC_Semanal!$A$6:$A$205,$A8)</f>
        <v>0</v>
      </c>
      <c r="H8" s="11">
        <f>SUMIFS(PC_Semanal!$H$6:$H$205,PC_Semanal!$A$6:$A$205,$A8)</f>
        <v>0</v>
      </c>
      <c r="I8" s="32" t="str">
        <f t="shared" si="1"/>
        <v>-</v>
      </c>
      <c r="J8" s="20">
        <f>COUNTIFS(PC_Semanal!$K$6:$K$205,"Verde",PC_Semanal!$A$6:$A$205,$A8)</f>
        <v>0</v>
      </c>
      <c r="K8" s="20">
        <f>COUNTIFS(PC_Semanal!$A$6:$A$205,$A8,PC_Semanal!$I$6:$I$205,"&lt;&gt;")</f>
        <v>0</v>
      </c>
    </row>
    <row r="9">
      <c r="A9" s="18">
        <v>3.0</v>
      </c>
      <c r="B9" s="11">
        <f>SUMIFS(PC_Semanal!$B$6:$B$205,PC_Semanal!$A$6:$A$205,$A9)</f>
        <v>0</v>
      </c>
      <c r="C9" s="11">
        <f>SUMIFS(PC_Semanal!$C$6:$C$205,PC_Semanal!$A$6:$A$205,$A9)</f>
        <v>0</v>
      </c>
      <c r="D9" s="11">
        <f>SUMIFS(PC_Semanal!$D$6:$D$205,PC_Semanal!$A$6:$A$205,$A9)</f>
        <v>0</v>
      </c>
      <c r="E9" s="11">
        <f>SUMIFS(PC_Semanal!$E$6:$E$205,PC_Semanal!$A$6:$A$205,$A9)</f>
        <v>0</v>
      </c>
      <c r="F9" s="11">
        <f>SUMIFS(PC_Semanal!$F$6:$F$205,PC_Semanal!$A$6:$A$205,$A9)</f>
        <v>0</v>
      </c>
      <c r="G9" s="11">
        <f>SUMIFS(PC_Semanal!$G$6:$G$205,PC_Semanal!$A$6:$A$205,$A9)</f>
        <v>0</v>
      </c>
      <c r="H9" s="11">
        <f>SUMIFS(PC_Semanal!$H$6:$H$205,PC_Semanal!$A$6:$A$205,$A9)</f>
        <v>0</v>
      </c>
      <c r="I9" s="32" t="str">
        <f t="shared" si="1"/>
        <v>-</v>
      </c>
      <c r="J9" s="20">
        <f>COUNTIFS(PC_Semanal!$K$6:$K$205,"Verde",PC_Semanal!$A$6:$A$205,$A9)</f>
        <v>0</v>
      </c>
      <c r="K9" s="20">
        <f>COUNTIFS(PC_Semanal!$A$6:$A$205,$A9,PC_Semanal!$I$6:$I$205,"&lt;&gt;")</f>
        <v>0</v>
      </c>
    </row>
    <row r="10">
      <c r="A10" s="18">
        <v>4.0</v>
      </c>
      <c r="B10" s="11">
        <f>SUMIFS(PC_Semanal!$B$6:$B$205,PC_Semanal!$A$6:$A$205,$A10)</f>
        <v>0</v>
      </c>
      <c r="C10" s="11">
        <f>SUMIFS(PC_Semanal!$C$6:$C$205,PC_Semanal!$A$6:$A$205,$A10)</f>
        <v>0</v>
      </c>
      <c r="D10" s="11">
        <f>SUMIFS(PC_Semanal!$D$6:$D$205,PC_Semanal!$A$6:$A$205,$A10)</f>
        <v>0</v>
      </c>
      <c r="E10" s="11">
        <f>SUMIFS(PC_Semanal!$E$6:$E$205,PC_Semanal!$A$6:$A$205,$A10)</f>
        <v>0</v>
      </c>
      <c r="F10" s="11">
        <f>SUMIFS(PC_Semanal!$F$6:$F$205,PC_Semanal!$A$6:$A$205,$A10)</f>
        <v>0</v>
      </c>
      <c r="G10" s="11">
        <f>SUMIFS(PC_Semanal!$G$6:$G$205,PC_Semanal!$A$6:$A$205,$A10)</f>
        <v>0</v>
      </c>
      <c r="H10" s="11">
        <f>SUMIFS(PC_Semanal!$H$6:$H$205,PC_Semanal!$A$6:$A$205,$A10)</f>
        <v>0</v>
      </c>
      <c r="I10" s="32" t="str">
        <f t="shared" si="1"/>
        <v>-</v>
      </c>
      <c r="J10" s="20">
        <f>COUNTIFS(PC_Semanal!$K$6:$K$205,"Verde",PC_Semanal!$A$6:$A$205,$A10)</f>
        <v>0</v>
      </c>
      <c r="K10" s="20">
        <f>COUNTIFS(PC_Semanal!$A$6:$A$205,$A10,PC_Semanal!$I$6:$I$205,"&lt;&gt;")</f>
        <v>0</v>
      </c>
    </row>
    <row r="11">
      <c r="A11" s="18">
        <v>5.0</v>
      </c>
      <c r="B11" s="11">
        <f>SUMIFS(PC_Semanal!$B$6:$B$205,PC_Semanal!$A$6:$A$205,$A11)</f>
        <v>0</v>
      </c>
      <c r="C11" s="11">
        <f>SUMIFS(PC_Semanal!$C$6:$C$205,PC_Semanal!$A$6:$A$205,$A11)</f>
        <v>0</v>
      </c>
      <c r="D11" s="11">
        <f>SUMIFS(PC_Semanal!$D$6:$D$205,PC_Semanal!$A$6:$A$205,$A11)</f>
        <v>0</v>
      </c>
      <c r="E11" s="11">
        <f>SUMIFS(PC_Semanal!$E$6:$E$205,PC_Semanal!$A$6:$A$205,$A11)</f>
        <v>0</v>
      </c>
      <c r="F11" s="11">
        <f>SUMIFS(PC_Semanal!$F$6:$F$205,PC_Semanal!$A$6:$A$205,$A11)</f>
        <v>0</v>
      </c>
      <c r="G11" s="11">
        <f>SUMIFS(PC_Semanal!$G$6:$G$205,PC_Semanal!$A$6:$A$205,$A11)</f>
        <v>0</v>
      </c>
      <c r="H11" s="11">
        <f>SUMIFS(PC_Semanal!$H$6:$H$205,PC_Semanal!$A$6:$A$205,$A11)</f>
        <v>0</v>
      </c>
      <c r="I11" s="32" t="str">
        <f t="shared" si="1"/>
        <v>-</v>
      </c>
      <c r="J11" s="20">
        <f>COUNTIFS(PC_Semanal!$K$6:$K$205,"Verde",PC_Semanal!$A$6:$A$205,$A11)</f>
        <v>0</v>
      </c>
      <c r="K11" s="20">
        <f>COUNTIFS(PC_Semanal!$A$6:$A$205,$A11,PC_Semanal!$I$6:$I$205,"&lt;&gt;")</f>
        <v>0</v>
      </c>
    </row>
    <row r="12">
      <c r="A12" s="18">
        <v>6.0</v>
      </c>
      <c r="B12" s="11">
        <f>SUMIFS(PC_Semanal!$B$6:$B$205,PC_Semanal!$A$6:$A$205,$A12)</f>
        <v>0</v>
      </c>
      <c r="C12" s="11">
        <f>SUMIFS(PC_Semanal!$C$6:$C$205,PC_Semanal!$A$6:$A$205,$A12)</f>
        <v>0</v>
      </c>
      <c r="D12" s="11">
        <f>SUMIFS(PC_Semanal!$D$6:$D$205,PC_Semanal!$A$6:$A$205,$A12)</f>
        <v>0</v>
      </c>
      <c r="E12" s="11">
        <f>SUMIFS(PC_Semanal!$E$6:$E$205,PC_Semanal!$A$6:$A$205,$A12)</f>
        <v>0</v>
      </c>
      <c r="F12" s="11">
        <f>SUMIFS(PC_Semanal!$F$6:$F$205,PC_Semanal!$A$6:$A$205,$A12)</f>
        <v>0</v>
      </c>
      <c r="G12" s="11">
        <f>SUMIFS(PC_Semanal!$G$6:$G$205,PC_Semanal!$A$6:$A$205,$A12)</f>
        <v>0</v>
      </c>
      <c r="H12" s="11">
        <f>SUMIFS(PC_Semanal!$H$6:$H$205,PC_Semanal!$A$6:$A$205,$A12)</f>
        <v>0</v>
      </c>
      <c r="I12" s="32" t="str">
        <f t="shared" si="1"/>
        <v>-</v>
      </c>
      <c r="J12" s="20">
        <f>COUNTIFS(PC_Semanal!$K$6:$K$205,"Verde",PC_Semanal!$A$6:$A$205,$A12)</f>
        <v>0</v>
      </c>
      <c r="K12" s="20">
        <f>COUNTIFS(PC_Semanal!$A$6:$A$205,$A12,PC_Semanal!$I$6:$I$205,"&lt;&gt;")</f>
        <v>0</v>
      </c>
    </row>
    <row r="13">
      <c r="A13" s="18">
        <v>7.0</v>
      </c>
      <c r="B13" s="11">
        <f>SUMIFS(PC_Semanal!$B$6:$B$205,PC_Semanal!$A$6:$A$205,$A13)</f>
        <v>0</v>
      </c>
      <c r="C13" s="11">
        <f>SUMIFS(PC_Semanal!$C$6:$C$205,PC_Semanal!$A$6:$A$205,$A13)</f>
        <v>0</v>
      </c>
      <c r="D13" s="11">
        <f>SUMIFS(PC_Semanal!$D$6:$D$205,PC_Semanal!$A$6:$A$205,$A13)</f>
        <v>0</v>
      </c>
      <c r="E13" s="11">
        <f>SUMIFS(PC_Semanal!$E$6:$E$205,PC_Semanal!$A$6:$A$205,$A13)</f>
        <v>0</v>
      </c>
      <c r="F13" s="11">
        <f>SUMIFS(PC_Semanal!$F$6:$F$205,PC_Semanal!$A$6:$A$205,$A13)</f>
        <v>0</v>
      </c>
      <c r="G13" s="11">
        <f>SUMIFS(PC_Semanal!$G$6:$G$205,PC_Semanal!$A$6:$A$205,$A13)</f>
        <v>0</v>
      </c>
      <c r="H13" s="11">
        <f>SUMIFS(PC_Semanal!$H$6:$H$205,PC_Semanal!$A$6:$A$205,$A13)</f>
        <v>0</v>
      </c>
      <c r="I13" s="32" t="str">
        <f t="shared" si="1"/>
        <v>-</v>
      </c>
      <c r="J13" s="20">
        <f>COUNTIFS(PC_Semanal!$K$6:$K$205,"Verde",PC_Semanal!$A$6:$A$205,$A13)</f>
        <v>0</v>
      </c>
      <c r="K13" s="20">
        <f>COUNTIFS(PC_Semanal!$A$6:$A$205,$A13,PC_Semanal!$I$6:$I$205,"&lt;&gt;")</f>
        <v>0</v>
      </c>
    </row>
    <row r="14">
      <c r="A14" s="18">
        <v>8.0</v>
      </c>
      <c r="B14" s="11">
        <f>SUMIFS(PC_Semanal!$B$6:$B$205,PC_Semanal!$A$6:$A$205,$A14)</f>
        <v>0</v>
      </c>
      <c r="C14" s="11">
        <f>SUMIFS(PC_Semanal!$C$6:$C$205,PC_Semanal!$A$6:$A$205,$A14)</f>
        <v>0</v>
      </c>
      <c r="D14" s="11">
        <f>SUMIFS(PC_Semanal!$D$6:$D$205,PC_Semanal!$A$6:$A$205,$A14)</f>
        <v>0</v>
      </c>
      <c r="E14" s="11">
        <f>SUMIFS(PC_Semanal!$E$6:$E$205,PC_Semanal!$A$6:$A$205,$A14)</f>
        <v>0</v>
      </c>
      <c r="F14" s="11">
        <f>SUMIFS(PC_Semanal!$F$6:$F$205,PC_Semanal!$A$6:$A$205,$A14)</f>
        <v>0</v>
      </c>
      <c r="G14" s="11">
        <f>SUMIFS(PC_Semanal!$G$6:$G$205,PC_Semanal!$A$6:$A$205,$A14)</f>
        <v>0</v>
      </c>
      <c r="H14" s="11">
        <f>SUMIFS(PC_Semanal!$H$6:$H$205,PC_Semanal!$A$6:$A$205,$A14)</f>
        <v>0</v>
      </c>
      <c r="I14" s="32" t="str">
        <f t="shared" si="1"/>
        <v>-</v>
      </c>
      <c r="J14" s="20">
        <f>COUNTIFS(PC_Semanal!$K$6:$K$205,"Verde",PC_Semanal!$A$6:$A$205,$A14)</f>
        <v>0</v>
      </c>
      <c r="K14" s="20">
        <f>COUNTIFS(PC_Semanal!$A$6:$A$205,$A14,PC_Semanal!$I$6:$I$205,"&lt;&gt;")</f>
        <v>0</v>
      </c>
    </row>
    <row r="15">
      <c r="A15" s="18">
        <v>9.0</v>
      </c>
      <c r="B15" s="11">
        <f>SUMIFS(PC_Semanal!$B$6:$B$205,PC_Semanal!$A$6:$A$205,$A15)</f>
        <v>0</v>
      </c>
      <c r="C15" s="11">
        <f>SUMIFS(PC_Semanal!$C$6:$C$205,PC_Semanal!$A$6:$A$205,$A15)</f>
        <v>0</v>
      </c>
      <c r="D15" s="11">
        <f>SUMIFS(PC_Semanal!$D$6:$D$205,PC_Semanal!$A$6:$A$205,$A15)</f>
        <v>0</v>
      </c>
      <c r="E15" s="11">
        <f>SUMIFS(PC_Semanal!$E$6:$E$205,PC_Semanal!$A$6:$A$205,$A15)</f>
        <v>0</v>
      </c>
      <c r="F15" s="11">
        <f>SUMIFS(PC_Semanal!$F$6:$F$205,PC_Semanal!$A$6:$A$205,$A15)</f>
        <v>0</v>
      </c>
      <c r="G15" s="11">
        <f>SUMIFS(PC_Semanal!$G$6:$G$205,PC_Semanal!$A$6:$A$205,$A15)</f>
        <v>0</v>
      </c>
      <c r="H15" s="11">
        <f>SUMIFS(PC_Semanal!$H$6:$H$205,PC_Semanal!$A$6:$A$205,$A15)</f>
        <v>0</v>
      </c>
      <c r="I15" s="32" t="str">
        <f t="shared" si="1"/>
        <v>-</v>
      </c>
      <c r="J15" s="20">
        <f>COUNTIFS(PC_Semanal!$K$6:$K$205,"Verde",PC_Semanal!$A$6:$A$205,$A15)</f>
        <v>0</v>
      </c>
      <c r="K15" s="20">
        <f>COUNTIFS(PC_Semanal!$A$6:$A$205,$A15,PC_Semanal!$I$6:$I$205,"&lt;&gt;")</f>
        <v>0</v>
      </c>
    </row>
    <row r="16">
      <c r="A16" s="18">
        <v>10.0</v>
      </c>
      <c r="B16" s="11">
        <f>SUMIFS(PC_Semanal!$B$6:$B$205,PC_Semanal!$A$6:$A$205,$A16)</f>
        <v>0</v>
      </c>
      <c r="C16" s="11">
        <f>SUMIFS(PC_Semanal!$C$6:$C$205,PC_Semanal!$A$6:$A$205,$A16)</f>
        <v>0</v>
      </c>
      <c r="D16" s="11">
        <f>SUMIFS(PC_Semanal!$D$6:$D$205,PC_Semanal!$A$6:$A$205,$A16)</f>
        <v>0</v>
      </c>
      <c r="E16" s="11">
        <f>SUMIFS(PC_Semanal!$E$6:$E$205,PC_Semanal!$A$6:$A$205,$A16)</f>
        <v>0</v>
      </c>
      <c r="F16" s="11">
        <f>SUMIFS(PC_Semanal!$F$6:$F$205,PC_Semanal!$A$6:$A$205,$A16)</f>
        <v>0</v>
      </c>
      <c r="G16" s="11">
        <f>SUMIFS(PC_Semanal!$G$6:$G$205,PC_Semanal!$A$6:$A$205,$A16)</f>
        <v>0</v>
      </c>
      <c r="H16" s="11">
        <f>SUMIFS(PC_Semanal!$H$6:$H$205,PC_Semanal!$A$6:$A$205,$A16)</f>
        <v>0</v>
      </c>
      <c r="I16" s="32" t="str">
        <f t="shared" si="1"/>
        <v>-</v>
      </c>
      <c r="J16" s="20">
        <f>COUNTIFS(PC_Semanal!$K$6:$K$205,"Verde",PC_Semanal!$A$6:$A$205,$A16)</f>
        <v>0</v>
      </c>
      <c r="K16" s="20">
        <f>COUNTIFS(PC_Semanal!$A$6:$A$205,$A16,PC_Semanal!$I$6:$I$205,"&lt;&gt;")</f>
        <v>0</v>
      </c>
    </row>
    <row r="17">
      <c r="A17" s="18">
        <v>11.0</v>
      </c>
      <c r="B17" s="11">
        <f>SUMIFS(PC_Semanal!$B$6:$B$205,PC_Semanal!$A$6:$A$205,$A17)</f>
        <v>0</v>
      </c>
      <c r="C17" s="11">
        <f>SUMIFS(PC_Semanal!$C$6:$C$205,PC_Semanal!$A$6:$A$205,$A17)</f>
        <v>0</v>
      </c>
      <c r="D17" s="11">
        <f>SUMIFS(PC_Semanal!$D$6:$D$205,PC_Semanal!$A$6:$A$205,$A17)</f>
        <v>0</v>
      </c>
      <c r="E17" s="11">
        <f>SUMIFS(PC_Semanal!$E$6:$E$205,PC_Semanal!$A$6:$A$205,$A17)</f>
        <v>0</v>
      </c>
      <c r="F17" s="11">
        <f>SUMIFS(PC_Semanal!$F$6:$F$205,PC_Semanal!$A$6:$A$205,$A17)</f>
        <v>0</v>
      </c>
      <c r="G17" s="11">
        <f>SUMIFS(PC_Semanal!$G$6:$G$205,PC_Semanal!$A$6:$A$205,$A17)</f>
        <v>0</v>
      </c>
      <c r="H17" s="11">
        <f>SUMIFS(PC_Semanal!$H$6:$H$205,PC_Semanal!$A$6:$A$205,$A17)</f>
        <v>0</v>
      </c>
      <c r="I17" s="32" t="str">
        <f t="shared" si="1"/>
        <v>-</v>
      </c>
      <c r="J17" s="20">
        <f>COUNTIFS(PC_Semanal!$K$6:$K$205,"Verde",PC_Semanal!$A$6:$A$205,$A17)</f>
        <v>0</v>
      </c>
      <c r="K17" s="20">
        <f>COUNTIFS(PC_Semanal!$A$6:$A$205,$A17,PC_Semanal!$I$6:$I$205,"&lt;&gt;")</f>
        <v>0</v>
      </c>
    </row>
    <row r="18">
      <c r="A18" s="18">
        <v>12.0</v>
      </c>
      <c r="B18" s="11">
        <f>SUMIFS(PC_Semanal!$B$6:$B$205,PC_Semanal!$A$6:$A$205,$A18)</f>
        <v>0</v>
      </c>
      <c r="C18" s="11">
        <f>SUMIFS(PC_Semanal!$C$6:$C$205,PC_Semanal!$A$6:$A$205,$A18)</f>
        <v>0</v>
      </c>
      <c r="D18" s="11">
        <f>SUMIFS(PC_Semanal!$D$6:$D$205,PC_Semanal!$A$6:$A$205,$A18)</f>
        <v>0</v>
      </c>
      <c r="E18" s="11">
        <f>SUMIFS(PC_Semanal!$E$6:$E$205,PC_Semanal!$A$6:$A$205,$A18)</f>
        <v>0</v>
      </c>
      <c r="F18" s="11">
        <f>SUMIFS(PC_Semanal!$F$6:$F$205,PC_Semanal!$A$6:$A$205,$A18)</f>
        <v>0</v>
      </c>
      <c r="G18" s="11">
        <f>SUMIFS(PC_Semanal!$G$6:$G$205,PC_Semanal!$A$6:$A$205,$A18)</f>
        <v>0</v>
      </c>
      <c r="H18" s="11">
        <f>SUMIFS(PC_Semanal!$H$6:$H$205,PC_Semanal!$A$6:$A$205,$A18)</f>
        <v>0</v>
      </c>
      <c r="I18" s="32" t="str">
        <f t="shared" si="1"/>
        <v>-</v>
      </c>
      <c r="J18" s="20">
        <f>COUNTIFS(PC_Semanal!$K$6:$K$205,"Verde",PC_Semanal!$A$6:$A$205,$A18)</f>
        <v>0</v>
      </c>
      <c r="K18" s="20">
        <f>COUNTIFS(PC_Semanal!$A$6:$A$205,$A18,PC_Semanal!$I$6:$I$205,"&lt;&gt;")</f>
        <v>0</v>
      </c>
    </row>
    <row r="19">
      <c r="A19" s="18">
        <v>13.0</v>
      </c>
      <c r="B19" s="11">
        <f>SUMIFS(PC_Semanal!$B$6:$B$205,PC_Semanal!$A$6:$A$205,$A19)</f>
        <v>0</v>
      </c>
      <c r="C19" s="11">
        <f>SUMIFS(PC_Semanal!$C$6:$C$205,PC_Semanal!$A$6:$A$205,$A19)</f>
        <v>0</v>
      </c>
      <c r="D19" s="11">
        <f>SUMIFS(PC_Semanal!$D$6:$D$205,PC_Semanal!$A$6:$A$205,$A19)</f>
        <v>0</v>
      </c>
      <c r="E19" s="11">
        <f>SUMIFS(PC_Semanal!$E$6:$E$205,PC_Semanal!$A$6:$A$205,$A19)</f>
        <v>0</v>
      </c>
      <c r="F19" s="11">
        <f>SUMIFS(PC_Semanal!$F$6:$F$205,PC_Semanal!$A$6:$A$205,$A19)</f>
        <v>0</v>
      </c>
      <c r="G19" s="11">
        <f>SUMIFS(PC_Semanal!$G$6:$G$205,PC_Semanal!$A$6:$A$205,$A19)</f>
        <v>0</v>
      </c>
      <c r="H19" s="11">
        <f>SUMIFS(PC_Semanal!$H$6:$H$205,PC_Semanal!$A$6:$A$205,$A19)</f>
        <v>0</v>
      </c>
      <c r="I19" s="32" t="str">
        <f t="shared" si="1"/>
        <v>-</v>
      </c>
      <c r="J19" s="20">
        <f>COUNTIFS(PC_Semanal!$K$6:$K$205,"Verde",PC_Semanal!$A$6:$A$205,$A19)</f>
        <v>0</v>
      </c>
      <c r="K19" s="20">
        <f>COUNTIFS(PC_Semanal!$A$6:$A$205,$A19,PC_Semanal!$I$6:$I$205,"&lt;&gt;")</f>
        <v>0</v>
      </c>
    </row>
    <row r="20">
      <c r="A20" s="18">
        <v>14.0</v>
      </c>
      <c r="B20" s="11">
        <f>SUMIFS(PC_Semanal!$B$6:$B$205,PC_Semanal!$A$6:$A$205,$A20)</f>
        <v>0</v>
      </c>
      <c r="C20" s="11">
        <f>SUMIFS(PC_Semanal!$C$6:$C$205,PC_Semanal!$A$6:$A$205,$A20)</f>
        <v>0</v>
      </c>
      <c r="D20" s="11">
        <f>SUMIFS(PC_Semanal!$D$6:$D$205,PC_Semanal!$A$6:$A$205,$A20)</f>
        <v>0</v>
      </c>
      <c r="E20" s="11">
        <f>SUMIFS(PC_Semanal!$E$6:$E$205,PC_Semanal!$A$6:$A$205,$A20)</f>
        <v>0</v>
      </c>
      <c r="F20" s="11">
        <f>SUMIFS(PC_Semanal!$F$6:$F$205,PC_Semanal!$A$6:$A$205,$A20)</f>
        <v>0</v>
      </c>
      <c r="G20" s="11">
        <f>SUMIFS(PC_Semanal!$G$6:$G$205,PC_Semanal!$A$6:$A$205,$A20)</f>
        <v>0</v>
      </c>
      <c r="H20" s="11">
        <f>SUMIFS(PC_Semanal!$H$6:$H$205,PC_Semanal!$A$6:$A$205,$A20)</f>
        <v>0</v>
      </c>
      <c r="I20" s="32" t="str">
        <f t="shared" si="1"/>
        <v>-</v>
      </c>
      <c r="J20" s="20">
        <f>COUNTIFS(PC_Semanal!$K$6:$K$205,"Verde",PC_Semanal!$A$6:$A$205,$A20)</f>
        <v>0</v>
      </c>
      <c r="K20" s="20">
        <f>COUNTIFS(PC_Semanal!$A$6:$A$205,$A20,PC_Semanal!$I$6:$I$205,"&lt;&gt;")</f>
        <v>0</v>
      </c>
    </row>
    <row r="21" ht="15.75" customHeight="1">
      <c r="A21" s="18">
        <v>15.0</v>
      </c>
      <c r="B21" s="11">
        <f>SUMIFS(PC_Semanal!$B$6:$B$205,PC_Semanal!$A$6:$A$205,$A21)</f>
        <v>0</v>
      </c>
      <c r="C21" s="11">
        <f>SUMIFS(PC_Semanal!$C$6:$C$205,PC_Semanal!$A$6:$A$205,$A21)</f>
        <v>0</v>
      </c>
      <c r="D21" s="11">
        <f>SUMIFS(PC_Semanal!$D$6:$D$205,PC_Semanal!$A$6:$A$205,$A21)</f>
        <v>0</v>
      </c>
      <c r="E21" s="11">
        <f>SUMIFS(PC_Semanal!$E$6:$E$205,PC_Semanal!$A$6:$A$205,$A21)</f>
        <v>0</v>
      </c>
      <c r="F21" s="11">
        <f>SUMIFS(PC_Semanal!$F$6:$F$205,PC_Semanal!$A$6:$A$205,$A21)</f>
        <v>0</v>
      </c>
      <c r="G21" s="11">
        <f>SUMIFS(PC_Semanal!$G$6:$G$205,PC_Semanal!$A$6:$A$205,$A21)</f>
        <v>0</v>
      </c>
      <c r="H21" s="11">
        <f>SUMIFS(PC_Semanal!$H$6:$H$205,PC_Semanal!$A$6:$A$205,$A21)</f>
        <v>0</v>
      </c>
      <c r="I21" s="32" t="str">
        <f t="shared" si="1"/>
        <v>-</v>
      </c>
      <c r="J21" s="20">
        <f>COUNTIFS(PC_Semanal!$K$6:$K$205,"Verde",PC_Semanal!$A$6:$A$205,$A21)</f>
        <v>0</v>
      </c>
      <c r="K21" s="20">
        <f>COUNTIFS(PC_Semanal!$A$6:$A$205,$A21,PC_Semanal!$I$6:$I$205,"&lt;&gt;")</f>
        <v>0</v>
      </c>
    </row>
    <row r="22" ht="15.75" customHeight="1">
      <c r="A22" s="18"/>
      <c r="B22" s="11"/>
      <c r="C22" s="11"/>
      <c r="D22" s="11"/>
      <c r="E22" s="11"/>
      <c r="F22" s="11"/>
      <c r="G22" s="11"/>
      <c r="H22" s="11"/>
      <c r="I22" s="32"/>
      <c r="J22" s="20"/>
      <c r="K22" s="20"/>
    </row>
    <row r="23" ht="15.75" customHeight="1">
      <c r="A23" s="18"/>
      <c r="B23" s="11"/>
      <c r="C23" s="11"/>
      <c r="D23" s="11"/>
      <c r="E23" s="11"/>
      <c r="F23" s="11"/>
      <c r="G23" s="11"/>
      <c r="H23" s="11"/>
      <c r="I23" s="32"/>
      <c r="J23" s="20"/>
      <c r="K23" s="20"/>
    </row>
    <row r="24" ht="15.75" customHeight="1">
      <c r="A24" s="18"/>
      <c r="B24" s="11"/>
      <c r="C24" s="11"/>
      <c r="D24" s="11"/>
      <c r="E24" s="11"/>
      <c r="F24" s="11"/>
      <c r="G24" s="11"/>
      <c r="H24" s="11"/>
      <c r="I24" s="32"/>
      <c r="J24" s="20"/>
      <c r="K24" s="20"/>
    </row>
    <row r="25" ht="15.75" customHeight="1">
      <c r="A25" s="18"/>
      <c r="B25" s="11"/>
      <c r="C25" s="11"/>
      <c r="D25" s="11"/>
      <c r="E25" s="11"/>
      <c r="F25" s="11"/>
      <c r="G25" s="11"/>
      <c r="H25" s="11"/>
      <c r="I25" s="32"/>
      <c r="J25" s="20"/>
      <c r="K25" s="20"/>
    </row>
    <row r="26" ht="15.75" customHeight="1">
      <c r="A26" s="18"/>
      <c r="B26" s="11"/>
      <c r="C26" s="11"/>
      <c r="D26" s="11"/>
      <c r="E26" s="11"/>
      <c r="F26" s="11"/>
      <c r="G26" s="11"/>
      <c r="H26" s="11"/>
      <c r="I26" s="32"/>
      <c r="J26" s="20"/>
      <c r="K26" s="20"/>
    </row>
    <row r="27" ht="15.75" customHeight="1">
      <c r="A27" s="18"/>
      <c r="B27" s="11"/>
      <c r="C27" s="11"/>
      <c r="D27" s="11"/>
      <c r="E27" s="11"/>
      <c r="F27" s="11"/>
      <c r="G27" s="11"/>
      <c r="H27" s="11"/>
      <c r="I27" s="32"/>
      <c r="J27" s="20"/>
      <c r="K27" s="20"/>
    </row>
    <row r="28" ht="15.75" customHeight="1">
      <c r="A28" s="18"/>
      <c r="B28" s="11"/>
      <c r="C28" s="11"/>
      <c r="D28" s="11"/>
      <c r="E28" s="11"/>
      <c r="F28" s="11"/>
      <c r="G28" s="11"/>
      <c r="H28" s="11"/>
      <c r="I28" s="32"/>
      <c r="J28" s="20"/>
      <c r="K28" s="20"/>
    </row>
    <row r="29" ht="15.75" customHeight="1">
      <c r="A29" s="18"/>
      <c r="B29" s="11"/>
      <c r="C29" s="11"/>
      <c r="D29" s="11"/>
      <c r="E29" s="11"/>
      <c r="F29" s="11"/>
      <c r="G29" s="11"/>
      <c r="H29" s="11"/>
      <c r="I29" s="32"/>
      <c r="J29" s="20"/>
      <c r="K29" s="20"/>
    </row>
    <row r="30" ht="15.75" customHeight="1">
      <c r="A30" s="18"/>
      <c r="B30" s="11"/>
      <c r="C30" s="11"/>
      <c r="D30" s="11"/>
      <c r="E30" s="11"/>
      <c r="F30" s="11"/>
      <c r="G30" s="11"/>
      <c r="H30" s="11"/>
      <c r="I30" s="32"/>
      <c r="J30" s="20"/>
      <c r="K30" s="20"/>
    </row>
    <row r="31" ht="15.75" customHeight="1">
      <c r="A31" s="18"/>
      <c r="B31" s="11"/>
      <c r="C31" s="11"/>
      <c r="D31" s="11"/>
      <c r="E31" s="11"/>
      <c r="F31" s="11"/>
      <c r="G31" s="11"/>
      <c r="H31" s="11"/>
      <c r="I31" s="32"/>
      <c r="J31" s="20"/>
      <c r="K31" s="20"/>
    </row>
    <row r="32" ht="15.75" customHeight="1">
      <c r="A32" s="18"/>
      <c r="B32" s="11"/>
      <c r="C32" s="11"/>
      <c r="D32" s="11"/>
      <c r="E32" s="11"/>
      <c r="F32" s="11"/>
      <c r="G32" s="11"/>
      <c r="H32" s="11"/>
      <c r="I32" s="32"/>
      <c r="J32" s="20"/>
      <c r="K32" s="20"/>
    </row>
    <row r="33" ht="15.75" customHeight="1">
      <c r="A33" s="18"/>
      <c r="B33" s="11"/>
      <c r="C33" s="11"/>
      <c r="D33" s="11"/>
      <c r="E33" s="11"/>
      <c r="F33" s="11"/>
      <c r="G33" s="11"/>
      <c r="H33" s="11"/>
      <c r="I33" s="32"/>
      <c r="J33" s="20"/>
      <c r="K33" s="20"/>
    </row>
    <row r="34" ht="15.75" customHeight="1">
      <c r="A34" s="18"/>
      <c r="B34" s="11"/>
      <c r="C34" s="11"/>
      <c r="D34" s="11"/>
      <c r="E34" s="11"/>
      <c r="F34" s="11"/>
      <c r="G34" s="11"/>
      <c r="H34" s="11"/>
      <c r="I34" s="32"/>
      <c r="J34" s="20"/>
      <c r="K34" s="20"/>
    </row>
    <row r="35" ht="15.75" customHeight="1">
      <c r="A35" s="18"/>
      <c r="B35" s="11"/>
      <c r="C35" s="11"/>
      <c r="D35" s="11"/>
      <c r="E35" s="11"/>
      <c r="F35" s="11"/>
      <c r="G35" s="11"/>
      <c r="H35" s="11"/>
      <c r="I35" s="32"/>
      <c r="J35" s="20"/>
      <c r="K35" s="20"/>
    </row>
    <row r="36" ht="15.75" customHeight="1">
      <c r="A36" s="18"/>
      <c r="B36" s="11"/>
      <c r="C36" s="11"/>
      <c r="D36" s="11"/>
      <c r="E36" s="11"/>
      <c r="F36" s="11"/>
      <c r="G36" s="11"/>
      <c r="H36" s="11"/>
      <c r="I36" s="32"/>
      <c r="J36" s="20"/>
      <c r="K36" s="20"/>
    </row>
    <row r="37" ht="15.75" customHeight="1">
      <c r="A37" s="18"/>
      <c r="B37" s="11"/>
      <c r="C37" s="11"/>
      <c r="D37" s="11"/>
      <c r="E37" s="11"/>
      <c r="F37" s="11"/>
      <c r="G37" s="11"/>
      <c r="H37" s="11"/>
      <c r="I37" s="32"/>
      <c r="J37" s="20"/>
      <c r="K37" s="20"/>
    </row>
    <row r="38" ht="15.75" customHeight="1">
      <c r="A38" s="18"/>
      <c r="B38" s="11"/>
      <c r="C38" s="11"/>
      <c r="D38" s="11"/>
      <c r="E38" s="11"/>
      <c r="F38" s="11"/>
      <c r="G38" s="11"/>
      <c r="H38" s="11"/>
      <c r="I38" s="32"/>
      <c r="J38" s="20"/>
      <c r="K38" s="20"/>
    </row>
    <row r="39" ht="15.75" customHeight="1">
      <c r="A39" s="18"/>
      <c r="B39" s="11"/>
      <c r="C39" s="11"/>
      <c r="D39" s="11"/>
      <c r="E39" s="11"/>
      <c r="F39" s="11"/>
      <c r="G39" s="11"/>
      <c r="H39" s="11"/>
      <c r="I39" s="32"/>
      <c r="J39" s="20"/>
      <c r="K39" s="20"/>
    </row>
    <row r="40" ht="15.75" customHeight="1">
      <c r="A40" s="18"/>
      <c r="B40" s="11"/>
      <c r="C40" s="11"/>
      <c r="D40" s="11"/>
      <c r="E40" s="11"/>
      <c r="F40" s="11"/>
      <c r="G40" s="11"/>
      <c r="H40" s="11"/>
      <c r="I40" s="32"/>
      <c r="J40" s="20"/>
      <c r="K40" s="20"/>
    </row>
    <row r="41" ht="15.75" customHeight="1">
      <c r="A41" s="18"/>
      <c r="B41" s="11"/>
      <c r="C41" s="11"/>
      <c r="D41" s="11"/>
      <c r="E41" s="11"/>
      <c r="F41" s="11"/>
      <c r="G41" s="11"/>
      <c r="H41" s="11"/>
      <c r="I41" s="32"/>
      <c r="J41" s="20"/>
      <c r="K41" s="20"/>
    </row>
    <row r="42" ht="15.75" customHeight="1">
      <c r="A42" s="18"/>
      <c r="B42" s="11"/>
      <c r="C42" s="11"/>
      <c r="D42" s="11"/>
      <c r="E42" s="11"/>
      <c r="F42" s="11"/>
      <c r="G42" s="11"/>
      <c r="H42" s="11"/>
      <c r="I42" s="32"/>
      <c r="J42" s="20"/>
      <c r="K42" s="20"/>
    </row>
    <row r="43" ht="15.75" customHeight="1">
      <c r="A43" s="18"/>
      <c r="B43" s="11"/>
      <c r="C43" s="11"/>
      <c r="D43" s="11"/>
      <c r="E43" s="11"/>
      <c r="F43" s="11"/>
      <c r="G43" s="11"/>
      <c r="H43" s="11"/>
      <c r="I43" s="32"/>
      <c r="J43" s="20"/>
      <c r="K43" s="20"/>
    </row>
    <row r="44" ht="15.75" customHeight="1">
      <c r="A44" s="18"/>
      <c r="B44" s="11"/>
      <c r="C44" s="11"/>
      <c r="D44" s="11"/>
      <c r="E44" s="11"/>
      <c r="F44" s="11"/>
      <c r="G44" s="11"/>
      <c r="H44" s="11"/>
      <c r="I44" s="32"/>
      <c r="J44" s="20"/>
      <c r="K44" s="20"/>
    </row>
    <row r="45" ht="15.75" customHeight="1">
      <c r="A45" s="18"/>
      <c r="B45" s="11"/>
      <c r="C45" s="11"/>
      <c r="D45" s="11"/>
      <c r="E45" s="11"/>
      <c r="F45" s="11"/>
      <c r="G45" s="11"/>
      <c r="H45" s="11"/>
      <c r="I45" s="32"/>
      <c r="J45" s="20"/>
      <c r="K45" s="20"/>
    </row>
    <row r="46" ht="15.75" customHeight="1">
      <c r="A46" s="18"/>
      <c r="B46" s="11"/>
      <c r="C46" s="11"/>
      <c r="D46" s="11"/>
      <c r="E46" s="11"/>
      <c r="F46" s="11"/>
      <c r="G46" s="11"/>
      <c r="H46" s="11"/>
      <c r="I46" s="32"/>
      <c r="J46" s="20"/>
      <c r="K46" s="20"/>
    </row>
    <row r="47" ht="15.75" customHeight="1">
      <c r="A47" s="18"/>
      <c r="B47" s="11"/>
      <c r="C47" s="11"/>
      <c r="D47" s="11"/>
      <c r="E47" s="11"/>
      <c r="F47" s="11"/>
      <c r="G47" s="11"/>
      <c r="H47" s="11"/>
      <c r="I47" s="32"/>
      <c r="J47" s="20"/>
      <c r="K47" s="20"/>
    </row>
    <row r="48" ht="15.75" customHeight="1">
      <c r="A48" s="18"/>
      <c r="B48" s="11"/>
      <c r="C48" s="11"/>
      <c r="D48" s="11"/>
      <c r="E48" s="11"/>
      <c r="F48" s="11"/>
      <c r="G48" s="11"/>
      <c r="H48" s="11"/>
      <c r="I48" s="32"/>
      <c r="J48" s="20"/>
      <c r="K48" s="20"/>
    </row>
    <row r="49" ht="15.75" customHeight="1">
      <c r="A49" s="18"/>
      <c r="B49" s="11"/>
      <c r="C49" s="11"/>
      <c r="D49" s="11"/>
      <c r="E49" s="11"/>
      <c r="F49" s="11"/>
      <c r="G49" s="11"/>
      <c r="H49" s="11"/>
      <c r="I49" s="32"/>
      <c r="J49" s="20"/>
      <c r="K49" s="20"/>
    </row>
    <row r="50" ht="15.75" customHeight="1">
      <c r="A50" s="18"/>
      <c r="B50" s="11"/>
      <c r="C50" s="11"/>
      <c r="D50" s="11"/>
      <c r="E50" s="11"/>
      <c r="F50" s="11"/>
      <c r="G50" s="11"/>
      <c r="H50" s="11"/>
      <c r="I50" s="32"/>
      <c r="J50" s="20"/>
      <c r="K50" s="20"/>
    </row>
    <row r="51" ht="15.75" customHeight="1">
      <c r="A51" s="18"/>
      <c r="B51" s="11"/>
      <c r="C51" s="11"/>
      <c r="D51" s="11"/>
      <c r="E51" s="11"/>
      <c r="F51" s="11"/>
      <c r="G51" s="11"/>
      <c r="H51" s="11"/>
      <c r="I51" s="32"/>
      <c r="J51" s="20"/>
      <c r="K51" s="20"/>
    </row>
    <row r="52" ht="15.75" customHeight="1">
      <c r="A52" s="18"/>
      <c r="B52" s="11"/>
      <c r="C52" s="11"/>
      <c r="D52" s="11"/>
      <c r="E52" s="11"/>
      <c r="F52" s="11"/>
      <c r="G52" s="11"/>
      <c r="H52" s="11"/>
      <c r="I52" s="32"/>
      <c r="J52" s="20"/>
      <c r="K52" s="20"/>
    </row>
    <row r="53" ht="15.75" customHeight="1">
      <c r="A53" s="18"/>
      <c r="B53" s="11"/>
      <c r="C53" s="11"/>
      <c r="D53" s="11"/>
      <c r="E53" s="11"/>
      <c r="F53" s="11"/>
      <c r="G53" s="11"/>
      <c r="H53" s="11"/>
      <c r="I53" s="32"/>
      <c r="J53" s="20"/>
      <c r="K53" s="20"/>
    </row>
    <row r="54" ht="15.75" customHeight="1">
      <c r="A54" s="18"/>
      <c r="B54" s="11"/>
      <c r="C54" s="11"/>
      <c r="D54" s="11"/>
      <c r="E54" s="11"/>
      <c r="F54" s="11"/>
      <c r="G54" s="11"/>
      <c r="H54" s="11"/>
      <c r="I54" s="32"/>
      <c r="J54" s="20"/>
      <c r="K54" s="20"/>
    </row>
    <row r="55" ht="15.75" customHeight="1">
      <c r="A55" s="18"/>
      <c r="B55" s="11"/>
      <c r="C55" s="11"/>
      <c r="D55" s="11"/>
      <c r="E55" s="11"/>
      <c r="F55" s="11"/>
      <c r="G55" s="11"/>
      <c r="H55" s="11"/>
      <c r="I55" s="32"/>
      <c r="J55" s="20"/>
      <c r="K55" s="20"/>
    </row>
    <row r="56" ht="15.75" customHeight="1">
      <c r="A56" s="18"/>
      <c r="B56" s="11"/>
      <c r="C56" s="11"/>
      <c r="D56" s="11"/>
      <c r="E56" s="11"/>
      <c r="F56" s="11"/>
      <c r="G56" s="11"/>
      <c r="H56" s="11"/>
      <c r="I56" s="32"/>
      <c r="J56" s="20"/>
      <c r="K56" s="20"/>
    </row>
    <row r="57" ht="15.75" customHeight="1">
      <c r="A57" s="18"/>
      <c r="B57" s="11"/>
      <c r="C57" s="11"/>
      <c r="D57" s="11"/>
      <c r="E57" s="11"/>
      <c r="F57" s="11"/>
      <c r="G57" s="11"/>
      <c r="H57" s="11"/>
      <c r="I57" s="32"/>
      <c r="J57" s="20"/>
      <c r="K57" s="20"/>
    </row>
    <row r="58" ht="15.75" customHeight="1">
      <c r="A58" s="18"/>
      <c r="B58" s="11"/>
      <c r="C58" s="11"/>
      <c r="D58" s="11"/>
      <c r="E58" s="11"/>
      <c r="F58" s="11"/>
      <c r="G58" s="11"/>
      <c r="H58" s="11"/>
      <c r="I58" s="32"/>
      <c r="J58" s="20"/>
      <c r="K58" s="20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A4:K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2.0"/>
    <col customWidth="1" min="3" max="3" width="12.0"/>
    <col customWidth="1" min="4" max="4" width="28.0"/>
    <col customWidth="1" min="5" max="5" width="16.0"/>
    <col customWidth="1" min="6" max="6" width="24.0"/>
    <col customWidth="1" min="7" max="7" width="12.0"/>
    <col customWidth="1" min="8" max="26" width="8.71"/>
  </cols>
  <sheetData>
    <row r="1" ht="27.75" customHeight="1">
      <c r="A1" s="1" t="s">
        <v>91</v>
      </c>
      <c r="B1" s="2"/>
      <c r="C1" s="2"/>
      <c r="D1" s="2"/>
      <c r="E1" s="2"/>
      <c r="F1" s="2"/>
      <c r="G1" s="3"/>
    </row>
    <row r="2" ht="19.5" customHeight="1">
      <c r="A2" s="5" t="s">
        <v>92</v>
      </c>
      <c r="B2" s="2"/>
      <c r="C2" s="2"/>
      <c r="D2" s="2"/>
      <c r="E2" s="2"/>
      <c r="F2" s="2"/>
      <c r="G2" s="3"/>
    </row>
    <row r="4">
      <c r="A4" s="6" t="s">
        <v>93</v>
      </c>
    </row>
    <row r="5">
      <c r="A5" s="7" t="s">
        <v>3</v>
      </c>
      <c r="B5" s="7" t="s">
        <v>11</v>
      </c>
      <c r="C5" s="7" t="s">
        <v>94</v>
      </c>
      <c r="D5" s="7" t="s">
        <v>95</v>
      </c>
      <c r="E5" s="7" t="s">
        <v>76</v>
      </c>
      <c r="F5" s="7" t="s">
        <v>96</v>
      </c>
      <c r="G5" s="7" t="s">
        <v>50</v>
      </c>
    </row>
    <row r="6">
      <c r="A6" s="18"/>
      <c r="B6" s="19"/>
      <c r="C6" s="18"/>
      <c r="D6" s="19"/>
      <c r="E6" s="18"/>
      <c r="F6" s="19"/>
      <c r="G6" s="18"/>
    </row>
    <row r="7">
      <c r="A7" s="18"/>
      <c r="B7" s="19"/>
      <c r="C7" s="18"/>
      <c r="D7" s="19"/>
      <c r="E7" s="18"/>
      <c r="F7" s="19"/>
      <c r="G7" s="18"/>
    </row>
    <row r="8">
      <c r="A8" s="18"/>
      <c r="B8" s="19"/>
      <c r="C8" s="18"/>
      <c r="D8" s="19"/>
      <c r="E8" s="18"/>
      <c r="F8" s="19"/>
      <c r="G8" s="18"/>
    </row>
    <row r="9">
      <c r="A9" s="18"/>
      <c r="B9" s="19"/>
      <c r="C9" s="18"/>
      <c r="D9" s="19"/>
      <c r="E9" s="18"/>
      <c r="F9" s="19"/>
      <c r="G9" s="18"/>
    </row>
    <row r="10">
      <c r="A10" s="18"/>
      <c r="B10" s="19"/>
      <c r="C10" s="18"/>
      <c r="D10" s="19"/>
      <c r="E10" s="18"/>
      <c r="F10" s="19"/>
      <c r="G10" s="18"/>
    </row>
    <row r="11">
      <c r="A11" s="18"/>
      <c r="B11" s="19"/>
      <c r="C11" s="18"/>
      <c r="D11" s="19"/>
      <c r="E11" s="18"/>
      <c r="F11" s="19"/>
      <c r="G11" s="18"/>
    </row>
    <row r="12">
      <c r="A12" s="18"/>
      <c r="B12" s="19"/>
      <c r="C12" s="18"/>
      <c r="D12" s="19"/>
      <c r="E12" s="18"/>
      <c r="F12" s="19"/>
      <c r="G12" s="18"/>
    </row>
    <row r="13">
      <c r="A13" s="18"/>
      <c r="B13" s="19"/>
      <c r="C13" s="18"/>
      <c r="D13" s="19"/>
      <c r="E13" s="18"/>
      <c r="F13" s="19"/>
      <c r="G13" s="18"/>
    </row>
    <row r="14">
      <c r="A14" s="18"/>
      <c r="B14" s="19"/>
      <c r="C14" s="18"/>
      <c r="D14" s="19"/>
      <c r="E14" s="18"/>
      <c r="F14" s="19"/>
      <c r="G14" s="18"/>
    </row>
    <row r="15">
      <c r="A15" s="18"/>
      <c r="B15" s="19"/>
      <c r="C15" s="18"/>
      <c r="D15" s="19"/>
      <c r="E15" s="18"/>
      <c r="F15" s="19"/>
      <c r="G15" s="18"/>
    </row>
    <row r="16">
      <c r="A16" s="18"/>
      <c r="B16" s="19"/>
      <c r="C16" s="18"/>
      <c r="D16" s="19"/>
      <c r="E16" s="18"/>
      <c r="F16" s="19"/>
      <c r="G16" s="18"/>
    </row>
    <row r="17">
      <c r="A17" s="18"/>
      <c r="B17" s="19"/>
      <c r="C17" s="18"/>
      <c r="D17" s="19"/>
      <c r="E17" s="18"/>
      <c r="F17" s="19"/>
      <c r="G17" s="18"/>
    </row>
    <row r="18">
      <c r="A18" s="18"/>
      <c r="B18" s="19"/>
      <c r="C18" s="18"/>
      <c r="D18" s="19"/>
      <c r="E18" s="18"/>
      <c r="F18" s="19"/>
      <c r="G18" s="18"/>
    </row>
    <row r="19">
      <c r="A19" s="18"/>
      <c r="B19" s="19"/>
      <c r="C19" s="18"/>
      <c r="D19" s="19"/>
      <c r="E19" s="18"/>
      <c r="F19" s="19"/>
      <c r="G19" s="18"/>
    </row>
    <row r="20">
      <c r="A20" s="18"/>
      <c r="B20" s="19"/>
      <c r="C20" s="18"/>
      <c r="D20" s="19"/>
      <c r="E20" s="18"/>
      <c r="F20" s="19"/>
      <c r="G20" s="18"/>
    </row>
    <row r="21" ht="15.75" customHeight="1">
      <c r="A21" s="18"/>
      <c r="B21" s="19"/>
      <c r="C21" s="18"/>
      <c r="D21" s="19"/>
      <c r="E21" s="18"/>
      <c r="F21" s="19"/>
      <c r="G21" s="18"/>
    </row>
    <row r="22" ht="15.75" customHeight="1">
      <c r="A22" s="18"/>
      <c r="B22" s="19"/>
      <c r="C22" s="18"/>
      <c r="D22" s="19"/>
      <c r="E22" s="18"/>
      <c r="F22" s="19"/>
      <c r="G22" s="18"/>
    </row>
    <row r="23" ht="15.75" customHeight="1">
      <c r="A23" s="18"/>
      <c r="B23" s="19"/>
      <c r="C23" s="18"/>
      <c r="D23" s="19"/>
      <c r="E23" s="18"/>
      <c r="F23" s="19"/>
      <c r="G23" s="18"/>
    </row>
    <row r="24" ht="15.75" customHeight="1">
      <c r="A24" s="18"/>
      <c r="B24" s="19"/>
      <c r="C24" s="18"/>
      <c r="D24" s="19"/>
      <c r="E24" s="18"/>
      <c r="F24" s="19"/>
      <c r="G24" s="18"/>
    </row>
    <row r="25" ht="15.75" customHeight="1">
      <c r="A25" s="18"/>
      <c r="B25" s="19"/>
      <c r="C25" s="18"/>
      <c r="D25" s="19"/>
      <c r="E25" s="18"/>
      <c r="F25" s="19"/>
      <c r="G25" s="18"/>
    </row>
    <row r="26" ht="15.75" customHeight="1">
      <c r="A26" s="18"/>
      <c r="B26" s="19"/>
      <c r="C26" s="18"/>
      <c r="D26" s="19"/>
      <c r="E26" s="18"/>
      <c r="F26" s="19"/>
      <c r="G26" s="18"/>
    </row>
    <row r="27" ht="15.75" customHeight="1">
      <c r="A27" s="18"/>
      <c r="B27" s="19"/>
      <c r="C27" s="18"/>
      <c r="D27" s="19"/>
      <c r="E27" s="18"/>
      <c r="F27" s="19"/>
      <c r="G27" s="18"/>
    </row>
    <row r="28" ht="15.75" customHeight="1">
      <c r="A28" s="18"/>
      <c r="B28" s="19"/>
      <c r="C28" s="18"/>
      <c r="D28" s="19"/>
      <c r="E28" s="18"/>
      <c r="F28" s="19"/>
      <c r="G28" s="18"/>
    </row>
    <row r="29" ht="15.75" customHeight="1">
      <c r="A29" s="18"/>
      <c r="B29" s="19"/>
      <c r="C29" s="18"/>
      <c r="D29" s="19"/>
      <c r="E29" s="18"/>
      <c r="F29" s="19"/>
      <c r="G29" s="18"/>
    </row>
    <row r="30" ht="15.75" customHeight="1">
      <c r="A30" s="18"/>
      <c r="B30" s="19"/>
      <c r="C30" s="18"/>
      <c r="D30" s="19"/>
      <c r="E30" s="18"/>
      <c r="F30" s="19"/>
      <c r="G30" s="18"/>
    </row>
    <row r="31" ht="15.75" customHeight="1">
      <c r="A31" s="18"/>
      <c r="B31" s="19"/>
      <c r="C31" s="18"/>
      <c r="D31" s="19"/>
      <c r="E31" s="18"/>
      <c r="F31" s="19"/>
      <c r="G31" s="18"/>
    </row>
    <row r="32" ht="15.75" customHeight="1">
      <c r="A32" s="18"/>
      <c r="B32" s="19"/>
      <c r="C32" s="18"/>
      <c r="D32" s="19"/>
      <c r="E32" s="18"/>
      <c r="F32" s="19"/>
      <c r="G32" s="18"/>
    </row>
    <row r="33" ht="15.75" customHeight="1">
      <c r="A33" s="18"/>
      <c r="B33" s="19"/>
      <c r="C33" s="18"/>
      <c r="D33" s="19"/>
      <c r="E33" s="18"/>
      <c r="F33" s="19"/>
      <c r="G33" s="18"/>
    </row>
    <row r="34" ht="15.75" customHeight="1">
      <c r="A34" s="18"/>
      <c r="B34" s="19"/>
      <c r="C34" s="18"/>
      <c r="D34" s="19"/>
      <c r="E34" s="18"/>
      <c r="F34" s="19"/>
      <c r="G34" s="18"/>
    </row>
    <row r="35" ht="15.75" customHeight="1">
      <c r="A35" s="18"/>
      <c r="B35" s="19"/>
      <c r="C35" s="18"/>
      <c r="D35" s="19"/>
      <c r="E35" s="18"/>
      <c r="F35" s="19"/>
      <c r="G35" s="18"/>
    </row>
    <row r="36" ht="15.75" customHeight="1">
      <c r="A36" s="18"/>
      <c r="B36" s="19"/>
      <c r="C36" s="18"/>
      <c r="D36" s="19"/>
      <c r="E36" s="18"/>
      <c r="F36" s="19"/>
      <c r="G36" s="18"/>
    </row>
    <row r="37" ht="15.75" customHeight="1">
      <c r="A37" s="18"/>
      <c r="B37" s="19"/>
      <c r="C37" s="18"/>
      <c r="D37" s="19"/>
      <c r="E37" s="18"/>
      <c r="F37" s="19"/>
      <c r="G37" s="18"/>
    </row>
    <row r="38" ht="15.75" customHeight="1">
      <c r="A38" s="18"/>
      <c r="B38" s="19"/>
      <c r="C38" s="18"/>
      <c r="D38" s="19"/>
      <c r="E38" s="18"/>
      <c r="F38" s="19"/>
      <c r="G38" s="18"/>
    </row>
    <row r="39" ht="15.75" customHeight="1">
      <c r="A39" s="18"/>
      <c r="B39" s="19"/>
      <c r="C39" s="18"/>
      <c r="D39" s="19"/>
      <c r="E39" s="18"/>
      <c r="F39" s="19"/>
      <c r="G39" s="18"/>
    </row>
    <row r="40" ht="15.75" customHeight="1">
      <c r="A40" s="18"/>
      <c r="B40" s="19"/>
      <c r="C40" s="18"/>
      <c r="D40" s="19"/>
      <c r="E40" s="18"/>
      <c r="F40" s="19"/>
      <c r="G40" s="18"/>
    </row>
    <row r="41" ht="15.75" customHeight="1">
      <c r="A41" s="18"/>
      <c r="B41" s="19"/>
      <c r="C41" s="18"/>
      <c r="D41" s="19"/>
      <c r="E41" s="18"/>
      <c r="F41" s="19"/>
      <c r="G41" s="18"/>
    </row>
    <row r="42" ht="15.75" customHeight="1">
      <c r="A42" s="18"/>
      <c r="B42" s="19"/>
      <c r="C42" s="18"/>
      <c r="D42" s="19"/>
      <c r="E42" s="18"/>
      <c r="F42" s="19"/>
      <c r="G42" s="18"/>
    </row>
    <row r="43" ht="15.75" customHeight="1">
      <c r="A43" s="18"/>
      <c r="B43" s="19"/>
      <c r="C43" s="18"/>
      <c r="D43" s="19"/>
      <c r="E43" s="18"/>
      <c r="F43" s="19"/>
      <c r="G43" s="18"/>
    </row>
    <row r="44" ht="15.75" customHeight="1">
      <c r="A44" s="18"/>
      <c r="B44" s="19"/>
      <c r="C44" s="18"/>
      <c r="D44" s="19"/>
      <c r="E44" s="18"/>
      <c r="F44" s="19"/>
      <c r="G44" s="18"/>
    </row>
    <row r="45" ht="15.75" customHeight="1">
      <c r="A45" s="18"/>
      <c r="B45" s="19"/>
      <c r="C45" s="18"/>
      <c r="D45" s="19"/>
      <c r="E45" s="18"/>
      <c r="F45" s="19"/>
      <c r="G45" s="18"/>
    </row>
    <row r="46" ht="15.75" customHeight="1">
      <c r="A46" s="18"/>
      <c r="B46" s="19"/>
      <c r="C46" s="18"/>
      <c r="D46" s="19"/>
      <c r="E46" s="18"/>
      <c r="F46" s="19"/>
      <c r="G46" s="18"/>
    </row>
    <row r="47" ht="15.75" customHeight="1">
      <c r="A47" s="18"/>
      <c r="B47" s="19"/>
      <c r="C47" s="18"/>
      <c r="D47" s="19"/>
      <c r="E47" s="18"/>
      <c r="F47" s="19"/>
      <c r="G47" s="18"/>
    </row>
    <row r="48" ht="15.75" customHeight="1">
      <c r="A48" s="18"/>
      <c r="B48" s="19"/>
      <c r="C48" s="18"/>
      <c r="D48" s="19"/>
      <c r="E48" s="18"/>
      <c r="F48" s="19"/>
      <c r="G48" s="18"/>
    </row>
    <row r="49" ht="15.75" customHeight="1">
      <c r="A49" s="18"/>
      <c r="B49" s="19"/>
      <c r="C49" s="18"/>
      <c r="D49" s="19"/>
      <c r="E49" s="18"/>
      <c r="F49" s="19"/>
      <c r="G49" s="18"/>
    </row>
    <row r="50" ht="15.75" customHeight="1">
      <c r="A50" s="18"/>
      <c r="B50" s="19"/>
      <c r="C50" s="18"/>
      <c r="D50" s="19"/>
      <c r="E50" s="18"/>
      <c r="F50" s="19"/>
      <c r="G50" s="18"/>
    </row>
    <row r="51" ht="15.75" customHeight="1">
      <c r="A51" s="18"/>
      <c r="B51" s="19"/>
      <c r="C51" s="18"/>
      <c r="D51" s="19"/>
      <c r="E51" s="18"/>
      <c r="F51" s="19"/>
      <c r="G51" s="18"/>
    </row>
    <row r="52" ht="15.75" customHeight="1">
      <c r="A52" s="18"/>
      <c r="B52" s="19"/>
      <c r="C52" s="18"/>
      <c r="D52" s="19"/>
      <c r="E52" s="18"/>
      <c r="F52" s="19"/>
      <c r="G52" s="18"/>
    </row>
    <row r="53" ht="15.75" customHeight="1">
      <c r="A53" s="18"/>
      <c r="B53" s="19"/>
      <c r="C53" s="18"/>
      <c r="D53" s="19"/>
      <c r="E53" s="18"/>
      <c r="F53" s="19"/>
      <c r="G53" s="18"/>
    </row>
    <row r="54" ht="15.75" customHeight="1">
      <c r="A54" s="18"/>
      <c r="B54" s="19"/>
      <c r="C54" s="18"/>
      <c r="D54" s="19"/>
      <c r="E54" s="18"/>
      <c r="F54" s="19"/>
      <c r="G54" s="18"/>
    </row>
    <row r="55" ht="15.75" customHeight="1">
      <c r="A55" s="18"/>
      <c r="B55" s="19"/>
      <c r="C55" s="18"/>
      <c r="D55" s="19"/>
      <c r="E55" s="18"/>
      <c r="F55" s="19"/>
      <c r="G55" s="18"/>
    </row>
    <row r="56" ht="15.75" customHeight="1">
      <c r="A56" s="18"/>
      <c r="B56" s="19"/>
      <c r="C56" s="18"/>
      <c r="D56" s="19"/>
      <c r="E56" s="18"/>
      <c r="F56" s="19"/>
      <c r="G56" s="18"/>
    </row>
    <row r="57" ht="15.75" customHeight="1">
      <c r="A57" s="18"/>
      <c r="B57" s="19"/>
      <c r="C57" s="18"/>
      <c r="D57" s="19"/>
      <c r="E57" s="18"/>
      <c r="F57" s="19"/>
      <c r="G57" s="18"/>
    </row>
    <row r="58" ht="15.75" customHeight="1">
      <c r="A58" s="18"/>
      <c r="B58" s="19"/>
      <c r="C58" s="18"/>
      <c r="D58" s="19"/>
      <c r="E58" s="18"/>
      <c r="F58" s="19"/>
      <c r="G58" s="18"/>
    </row>
    <row r="59" ht="15.75" customHeight="1">
      <c r="A59" s="18"/>
      <c r="B59" s="19"/>
      <c r="C59" s="18"/>
      <c r="D59" s="19"/>
      <c r="E59" s="18"/>
      <c r="F59" s="19"/>
      <c r="G59" s="18"/>
    </row>
    <row r="60" ht="15.75" customHeight="1">
      <c r="A60" s="18"/>
      <c r="B60" s="19"/>
      <c r="C60" s="18"/>
      <c r="D60" s="19"/>
      <c r="E60" s="18"/>
      <c r="F60" s="19"/>
      <c r="G60" s="18"/>
    </row>
    <row r="61" ht="15.75" customHeight="1">
      <c r="A61" s="18"/>
      <c r="B61" s="19"/>
      <c r="C61" s="18"/>
      <c r="D61" s="19"/>
      <c r="E61" s="18"/>
      <c r="F61" s="19"/>
      <c r="G61" s="18"/>
    </row>
    <row r="62" ht="15.75" customHeight="1">
      <c r="A62" s="18"/>
      <c r="B62" s="19"/>
      <c r="C62" s="18"/>
      <c r="D62" s="19"/>
      <c r="E62" s="18"/>
      <c r="F62" s="19"/>
      <c r="G62" s="18"/>
    </row>
    <row r="63" ht="15.75" customHeight="1">
      <c r="A63" s="18"/>
      <c r="B63" s="19"/>
      <c r="C63" s="18"/>
      <c r="D63" s="19"/>
      <c r="E63" s="18"/>
      <c r="F63" s="19"/>
      <c r="G63" s="18"/>
    </row>
    <row r="64" ht="15.75" customHeight="1">
      <c r="A64" s="18"/>
      <c r="B64" s="19"/>
      <c r="C64" s="18"/>
      <c r="D64" s="19"/>
      <c r="E64" s="18"/>
      <c r="F64" s="19"/>
      <c r="G64" s="18"/>
    </row>
    <row r="65" ht="15.75" customHeight="1">
      <c r="A65" s="18"/>
      <c r="B65" s="19"/>
      <c r="C65" s="18"/>
      <c r="D65" s="19"/>
      <c r="E65" s="18"/>
      <c r="F65" s="19"/>
      <c r="G65" s="18"/>
    </row>
    <row r="66" ht="15.75" customHeight="1">
      <c r="A66" s="18"/>
      <c r="B66" s="19"/>
      <c r="C66" s="18"/>
      <c r="D66" s="19"/>
      <c r="E66" s="18"/>
      <c r="F66" s="19"/>
      <c r="G66" s="18"/>
    </row>
    <row r="67" ht="15.75" customHeight="1">
      <c r="A67" s="18"/>
      <c r="B67" s="19"/>
      <c r="C67" s="18"/>
      <c r="D67" s="19"/>
      <c r="E67" s="18"/>
      <c r="F67" s="19"/>
      <c r="G67" s="18"/>
    </row>
    <row r="68" ht="15.75" customHeight="1">
      <c r="A68" s="18"/>
      <c r="B68" s="19"/>
      <c r="C68" s="18"/>
      <c r="D68" s="19"/>
      <c r="E68" s="18"/>
      <c r="F68" s="19"/>
      <c r="G68" s="18"/>
    </row>
    <row r="69" ht="15.75" customHeight="1">
      <c r="A69" s="18"/>
      <c r="B69" s="19"/>
      <c r="C69" s="18"/>
      <c r="D69" s="19"/>
      <c r="E69" s="18"/>
      <c r="F69" s="19"/>
      <c r="G69" s="18"/>
    </row>
    <row r="70" ht="15.75" customHeight="1">
      <c r="A70" s="18"/>
      <c r="B70" s="19"/>
      <c r="C70" s="18"/>
      <c r="D70" s="19"/>
      <c r="E70" s="18"/>
      <c r="F70" s="19"/>
      <c r="G70" s="18"/>
    </row>
    <row r="71" ht="15.75" customHeight="1">
      <c r="A71" s="18"/>
      <c r="B71" s="19"/>
      <c r="C71" s="18"/>
      <c r="D71" s="19"/>
      <c r="E71" s="18"/>
      <c r="F71" s="19"/>
      <c r="G71" s="18"/>
    </row>
    <row r="72" ht="15.75" customHeight="1">
      <c r="A72" s="18"/>
      <c r="B72" s="19"/>
      <c r="C72" s="18"/>
      <c r="D72" s="19"/>
      <c r="E72" s="18"/>
      <c r="F72" s="19"/>
      <c r="G72" s="18"/>
    </row>
    <row r="73" ht="15.75" customHeight="1">
      <c r="A73" s="18"/>
      <c r="B73" s="19"/>
      <c r="C73" s="18"/>
      <c r="D73" s="19"/>
      <c r="E73" s="18"/>
      <c r="F73" s="19"/>
      <c r="G73" s="18"/>
    </row>
    <row r="74" ht="15.75" customHeight="1">
      <c r="A74" s="18"/>
      <c r="B74" s="19"/>
      <c r="C74" s="18"/>
      <c r="D74" s="19"/>
      <c r="E74" s="18"/>
      <c r="F74" s="19"/>
      <c r="G74" s="18"/>
    </row>
    <row r="75" ht="15.75" customHeight="1">
      <c r="A75" s="18"/>
      <c r="B75" s="19"/>
      <c r="C75" s="18"/>
      <c r="D75" s="19"/>
      <c r="E75" s="18"/>
      <c r="F75" s="19"/>
      <c r="G75" s="18"/>
    </row>
    <row r="76" ht="15.75" customHeight="1">
      <c r="A76" s="18"/>
      <c r="B76" s="19"/>
      <c r="C76" s="18"/>
      <c r="D76" s="19"/>
      <c r="E76" s="18"/>
      <c r="F76" s="19"/>
      <c r="G76" s="18"/>
    </row>
    <row r="77" ht="15.75" customHeight="1">
      <c r="A77" s="18"/>
      <c r="B77" s="19"/>
      <c r="C77" s="18"/>
      <c r="D77" s="19"/>
      <c r="E77" s="18"/>
      <c r="F77" s="19"/>
      <c r="G77" s="18"/>
    </row>
    <row r="78" ht="15.75" customHeight="1">
      <c r="A78" s="18"/>
      <c r="B78" s="19"/>
      <c r="C78" s="18"/>
      <c r="D78" s="19"/>
      <c r="E78" s="18"/>
      <c r="F78" s="19"/>
      <c r="G78" s="18"/>
    </row>
    <row r="79" ht="15.75" customHeight="1">
      <c r="A79" s="18"/>
      <c r="B79" s="19"/>
      <c r="C79" s="18"/>
      <c r="D79" s="19"/>
      <c r="E79" s="18"/>
      <c r="F79" s="19"/>
      <c r="G79" s="18"/>
    </row>
    <row r="80" ht="15.75" customHeight="1">
      <c r="A80" s="18"/>
      <c r="B80" s="19"/>
      <c r="C80" s="18"/>
      <c r="D80" s="19"/>
      <c r="E80" s="18"/>
      <c r="F80" s="19"/>
      <c r="G80" s="18"/>
    </row>
    <row r="81" ht="15.75" customHeight="1">
      <c r="A81" s="18"/>
      <c r="B81" s="19"/>
      <c r="C81" s="18"/>
      <c r="D81" s="19"/>
      <c r="E81" s="18"/>
      <c r="F81" s="19"/>
      <c r="G81" s="18"/>
    </row>
    <row r="82" ht="15.75" customHeight="1">
      <c r="A82" s="18"/>
      <c r="B82" s="19"/>
      <c r="C82" s="18"/>
      <c r="D82" s="19"/>
      <c r="E82" s="18"/>
      <c r="F82" s="19"/>
      <c r="G82" s="18"/>
    </row>
    <row r="83" ht="15.75" customHeight="1">
      <c r="A83" s="18"/>
      <c r="B83" s="19"/>
      <c r="C83" s="18"/>
      <c r="D83" s="19"/>
      <c r="E83" s="18"/>
      <c r="F83" s="19"/>
      <c r="G83" s="18"/>
    </row>
    <row r="84" ht="15.75" customHeight="1">
      <c r="A84" s="18"/>
      <c r="B84" s="19"/>
      <c r="C84" s="18"/>
      <c r="D84" s="19"/>
      <c r="E84" s="18"/>
      <c r="F84" s="19"/>
      <c r="G84" s="18"/>
    </row>
    <row r="85" ht="15.75" customHeight="1">
      <c r="A85" s="18"/>
      <c r="B85" s="19"/>
      <c r="C85" s="18"/>
      <c r="D85" s="19"/>
      <c r="E85" s="18"/>
      <c r="F85" s="19"/>
      <c r="G85" s="18"/>
    </row>
    <row r="86" ht="15.75" customHeight="1">
      <c r="A86" s="18"/>
      <c r="B86" s="19"/>
      <c r="C86" s="18"/>
      <c r="D86" s="19"/>
      <c r="E86" s="18"/>
      <c r="F86" s="19"/>
      <c r="G86" s="18"/>
    </row>
    <row r="87" ht="15.75" customHeight="1">
      <c r="A87" s="18"/>
      <c r="B87" s="19"/>
      <c r="C87" s="18"/>
      <c r="D87" s="19"/>
      <c r="E87" s="18"/>
      <c r="F87" s="19"/>
      <c r="G87" s="18"/>
    </row>
    <row r="88" ht="15.75" customHeight="1">
      <c r="A88" s="18"/>
      <c r="B88" s="19"/>
      <c r="C88" s="18"/>
      <c r="D88" s="19"/>
      <c r="E88" s="18"/>
      <c r="F88" s="19"/>
      <c r="G88" s="18"/>
    </row>
    <row r="89" ht="15.75" customHeight="1">
      <c r="A89" s="18"/>
      <c r="B89" s="19"/>
      <c r="C89" s="18"/>
      <c r="D89" s="19"/>
      <c r="E89" s="18"/>
      <c r="F89" s="19"/>
      <c r="G89" s="18"/>
    </row>
    <row r="90" ht="15.75" customHeight="1">
      <c r="A90" s="18"/>
      <c r="B90" s="19"/>
      <c r="C90" s="18"/>
      <c r="D90" s="19"/>
      <c r="E90" s="18"/>
      <c r="F90" s="19"/>
      <c r="G90" s="18"/>
    </row>
    <row r="91" ht="15.75" customHeight="1">
      <c r="A91" s="18"/>
      <c r="B91" s="19"/>
      <c r="C91" s="18"/>
      <c r="D91" s="19"/>
      <c r="E91" s="18"/>
      <c r="F91" s="19"/>
      <c r="G91" s="18"/>
    </row>
    <row r="92" ht="15.75" customHeight="1">
      <c r="A92" s="18"/>
      <c r="B92" s="19"/>
      <c r="C92" s="18"/>
      <c r="D92" s="19"/>
      <c r="E92" s="18"/>
      <c r="F92" s="19"/>
      <c r="G92" s="18"/>
    </row>
    <row r="93" ht="15.75" customHeight="1">
      <c r="A93" s="18"/>
      <c r="B93" s="19"/>
      <c r="C93" s="18"/>
      <c r="D93" s="19"/>
      <c r="E93" s="18"/>
      <c r="F93" s="19"/>
      <c r="G93" s="18"/>
    </row>
    <row r="94" ht="15.75" customHeight="1">
      <c r="A94" s="18"/>
      <c r="B94" s="19"/>
      <c r="C94" s="18"/>
      <c r="D94" s="19"/>
      <c r="E94" s="18"/>
      <c r="F94" s="19"/>
      <c r="G94" s="18"/>
    </row>
    <row r="95" ht="15.75" customHeight="1">
      <c r="A95" s="18"/>
      <c r="B95" s="19"/>
      <c r="C95" s="18"/>
      <c r="D95" s="19"/>
      <c r="E95" s="18"/>
      <c r="F95" s="19"/>
      <c r="G95" s="18"/>
    </row>
    <row r="96" ht="15.75" customHeight="1">
      <c r="A96" s="18"/>
      <c r="B96" s="19"/>
      <c r="C96" s="18"/>
      <c r="D96" s="19"/>
      <c r="E96" s="18"/>
      <c r="F96" s="19"/>
      <c r="G96" s="18"/>
    </row>
    <row r="97" ht="15.75" customHeight="1">
      <c r="A97" s="18"/>
      <c r="B97" s="19"/>
      <c r="C97" s="18"/>
      <c r="D97" s="19"/>
      <c r="E97" s="18"/>
      <c r="F97" s="19"/>
      <c r="G97" s="18"/>
    </row>
    <row r="98" ht="15.75" customHeight="1">
      <c r="A98" s="18"/>
      <c r="B98" s="19"/>
      <c r="C98" s="18"/>
      <c r="D98" s="19"/>
      <c r="E98" s="18"/>
      <c r="F98" s="19"/>
      <c r="G98" s="18"/>
    </row>
    <row r="99" ht="15.75" customHeight="1">
      <c r="A99" s="18"/>
      <c r="B99" s="19"/>
      <c r="C99" s="18"/>
      <c r="D99" s="19"/>
      <c r="E99" s="18"/>
      <c r="F99" s="19"/>
      <c r="G99" s="18"/>
    </row>
    <row r="100" ht="15.75" customHeight="1">
      <c r="A100" s="18"/>
      <c r="B100" s="19"/>
      <c r="C100" s="18"/>
      <c r="D100" s="19"/>
      <c r="E100" s="18"/>
      <c r="F100" s="19"/>
      <c r="G100" s="18"/>
    </row>
    <row r="101" ht="15.75" customHeight="1">
      <c r="A101" s="18"/>
      <c r="B101" s="19"/>
      <c r="C101" s="18"/>
      <c r="D101" s="19"/>
      <c r="E101" s="18"/>
      <c r="F101" s="19"/>
      <c r="G101" s="18"/>
    </row>
    <row r="102" ht="15.75" customHeight="1">
      <c r="A102" s="18"/>
      <c r="B102" s="19"/>
      <c r="C102" s="18"/>
      <c r="D102" s="19"/>
      <c r="E102" s="18"/>
      <c r="F102" s="19"/>
      <c r="G102" s="18"/>
    </row>
    <row r="103" ht="15.75" customHeight="1">
      <c r="A103" s="18"/>
      <c r="B103" s="19"/>
      <c r="C103" s="18"/>
      <c r="D103" s="19"/>
      <c r="E103" s="18"/>
      <c r="F103" s="19"/>
      <c r="G103" s="18"/>
    </row>
    <row r="104" ht="15.75" customHeight="1">
      <c r="A104" s="18"/>
      <c r="B104" s="19"/>
      <c r="C104" s="18"/>
      <c r="D104" s="19"/>
      <c r="E104" s="18"/>
      <c r="F104" s="19"/>
      <c r="G104" s="18"/>
    </row>
    <row r="105" ht="15.75" customHeight="1">
      <c r="A105" s="18"/>
      <c r="B105" s="19"/>
      <c r="C105" s="18"/>
      <c r="D105" s="19"/>
      <c r="E105" s="18"/>
      <c r="F105" s="19"/>
      <c r="G105" s="18"/>
    </row>
    <row r="106" ht="15.75" customHeight="1">
      <c r="A106" s="18"/>
      <c r="B106" s="19"/>
      <c r="C106" s="18"/>
      <c r="D106" s="19"/>
      <c r="E106" s="18"/>
      <c r="F106" s="19"/>
      <c r="G106" s="18"/>
    </row>
    <row r="107" ht="15.75" customHeight="1">
      <c r="A107" s="18"/>
      <c r="B107" s="19"/>
      <c r="C107" s="18"/>
      <c r="D107" s="19"/>
      <c r="E107" s="18"/>
      <c r="F107" s="19"/>
      <c r="G107" s="18"/>
    </row>
    <row r="108" ht="15.75" customHeight="1">
      <c r="A108" s="18"/>
      <c r="B108" s="19"/>
      <c r="C108" s="18"/>
      <c r="D108" s="19"/>
      <c r="E108" s="18"/>
      <c r="F108" s="19"/>
      <c r="G108" s="18"/>
    </row>
    <row r="109" ht="15.75" customHeight="1">
      <c r="A109" s="18"/>
      <c r="B109" s="19"/>
      <c r="C109" s="18"/>
      <c r="D109" s="19"/>
      <c r="E109" s="18"/>
      <c r="F109" s="19"/>
      <c r="G109" s="18"/>
    </row>
    <row r="110" ht="15.75" customHeight="1">
      <c r="A110" s="18"/>
      <c r="B110" s="19"/>
      <c r="C110" s="18"/>
      <c r="D110" s="19"/>
      <c r="E110" s="18"/>
      <c r="F110" s="19"/>
      <c r="G110" s="18"/>
    </row>
    <row r="111" ht="15.75" customHeight="1">
      <c r="A111" s="18"/>
      <c r="B111" s="19"/>
      <c r="C111" s="18"/>
      <c r="D111" s="19"/>
      <c r="E111" s="18"/>
      <c r="F111" s="19"/>
      <c r="G111" s="18"/>
    </row>
    <row r="112" ht="15.75" customHeight="1">
      <c r="A112" s="18"/>
      <c r="B112" s="19"/>
      <c r="C112" s="18"/>
      <c r="D112" s="19"/>
      <c r="E112" s="18"/>
      <c r="F112" s="19"/>
      <c r="G112" s="18"/>
    </row>
    <row r="113" ht="15.75" customHeight="1">
      <c r="A113" s="18"/>
      <c r="B113" s="19"/>
      <c r="C113" s="18"/>
      <c r="D113" s="19"/>
      <c r="E113" s="18"/>
      <c r="F113" s="19"/>
      <c r="G113" s="18"/>
    </row>
    <row r="114" ht="15.75" customHeight="1">
      <c r="A114" s="18"/>
      <c r="B114" s="19"/>
      <c r="C114" s="18"/>
      <c r="D114" s="19"/>
      <c r="E114" s="18"/>
      <c r="F114" s="19"/>
      <c r="G114" s="18"/>
    </row>
    <row r="115" ht="15.75" customHeight="1">
      <c r="A115" s="18"/>
      <c r="B115" s="19"/>
      <c r="C115" s="18"/>
      <c r="D115" s="19"/>
      <c r="E115" s="18"/>
      <c r="F115" s="19"/>
      <c r="G115" s="18"/>
    </row>
    <row r="116" ht="15.75" customHeight="1">
      <c r="A116" s="18"/>
      <c r="B116" s="19"/>
      <c r="C116" s="18"/>
      <c r="D116" s="19"/>
      <c r="E116" s="18"/>
      <c r="F116" s="19"/>
      <c r="G116" s="18"/>
    </row>
    <row r="117" ht="15.75" customHeight="1">
      <c r="A117" s="18"/>
      <c r="B117" s="19"/>
      <c r="C117" s="18"/>
      <c r="D117" s="19"/>
      <c r="E117" s="18"/>
      <c r="F117" s="19"/>
      <c r="G117" s="18"/>
    </row>
    <row r="118" ht="15.75" customHeight="1">
      <c r="A118" s="18"/>
      <c r="B118" s="19"/>
      <c r="C118" s="18"/>
      <c r="D118" s="19"/>
      <c r="E118" s="18"/>
      <c r="F118" s="19"/>
      <c r="G118" s="18"/>
    </row>
    <row r="119" ht="15.75" customHeight="1">
      <c r="A119" s="18"/>
      <c r="B119" s="19"/>
      <c r="C119" s="18"/>
      <c r="D119" s="19"/>
      <c r="E119" s="18"/>
      <c r="F119" s="19"/>
      <c r="G119" s="18"/>
    </row>
    <row r="120" ht="15.75" customHeight="1">
      <c r="A120" s="18"/>
      <c r="B120" s="19"/>
      <c r="C120" s="18"/>
      <c r="D120" s="19"/>
      <c r="E120" s="18"/>
      <c r="F120" s="19"/>
      <c r="G120" s="18"/>
    </row>
    <row r="121" ht="15.75" customHeight="1">
      <c r="A121" s="18"/>
      <c r="B121" s="19"/>
      <c r="C121" s="18"/>
      <c r="D121" s="19"/>
      <c r="E121" s="18"/>
      <c r="F121" s="19"/>
      <c r="G121" s="18"/>
    </row>
    <row r="122" ht="15.75" customHeight="1">
      <c r="A122" s="18"/>
      <c r="B122" s="19"/>
      <c r="C122" s="18"/>
      <c r="D122" s="19"/>
      <c r="E122" s="18"/>
      <c r="F122" s="19"/>
      <c r="G122" s="18"/>
    </row>
    <row r="123" ht="15.75" customHeight="1">
      <c r="A123" s="18"/>
      <c r="B123" s="19"/>
      <c r="C123" s="18"/>
      <c r="D123" s="19"/>
      <c r="E123" s="18"/>
      <c r="F123" s="19"/>
      <c r="G123" s="18"/>
    </row>
    <row r="124" ht="15.75" customHeight="1">
      <c r="A124" s="18"/>
      <c r="B124" s="19"/>
      <c r="C124" s="18"/>
      <c r="D124" s="19"/>
      <c r="E124" s="18"/>
      <c r="F124" s="19"/>
      <c r="G124" s="18"/>
    </row>
    <row r="125" ht="15.75" customHeight="1">
      <c r="A125" s="18"/>
      <c r="B125" s="19"/>
      <c r="C125" s="18"/>
      <c r="D125" s="19"/>
      <c r="E125" s="18"/>
      <c r="F125" s="19"/>
      <c r="G125" s="18"/>
    </row>
    <row r="126" ht="15.75" customHeight="1">
      <c r="A126" s="18"/>
      <c r="B126" s="19"/>
      <c r="C126" s="18"/>
      <c r="D126" s="19"/>
      <c r="E126" s="18"/>
      <c r="F126" s="19"/>
      <c r="G126" s="18"/>
    </row>
    <row r="127" ht="15.75" customHeight="1">
      <c r="A127" s="18"/>
      <c r="B127" s="19"/>
      <c r="C127" s="18"/>
      <c r="D127" s="19"/>
      <c r="E127" s="18"/>
      <c r="F127" s="19"/>
      <c r="G127" s="18"/>
    </row>
    <row r="128" ht="15.75" customHeight="1">
      <c r="A128" s="18"/>
      <c r="B128" s="19"/>
      <c r="C128" s="18"/>
      <c r="D128" s="19"/>
      <c r="E128" s="18"/>
      <c r="F128" s="19"/>
      <c r="G128" s="18"/>
    </row>
    <row r="129" ht="15.75" customHeight="1">
      <c r="A129" s="18"/>
      <c r="B129" s="19"/>
      <c r="C129" s="18"/>
      <c r="D129" s="19"/>
      <c r="E129" s="18"/>
      <c r="F129" s="19"/>
      <c r="G129" s="18"/>
    </row>
    <row r="130" ht="15.75" customHeight="1">
      <c r="A130" s="18"/>
      <c r="B130" s="19"/>
      <c r="C130" s="18"/>
      <c r="D130" s="19"/>
      <c r="E130" s="18"/>
      <c r="F130" s="19"/>
      <c r="G130" s="18"/>
    </row>
    <row r="131" ht="15.75" customHeight="1">
      <c r="A131" s="18"/>
      <c r="B131" s="19"/>
      <c r="C131" s="18"/>
      <c r="D131" s="19"/>
      <c r="E131" s="18"/>
      <c r="F131" s="19"/>
      <c r="G131" s="18"/>
    </row>
    <row r="132" ht="15.75" customHeight="1">
      <c r="A132" s="18"/>
      <c r="B132" s="19"/>
      <c r="C132" s="18"/>
      <c r="D132" s="19"/>
      <c r="E132" s="18"/>
      <c r="F132" s="19"/>
      <c r="G132" s="18"/>
    </row>
    <row r="133" ht="15.75" customHeight="1">
      <c r="A133" s="18"/>
      <c r="B133" s="19"/>
      <c r="C133" s="18"/>
      <c r="D133" s="19"/>
      <c r="E133" s="18"/>
      <c r="F133" s="19"/>
      <c r="G133" s="18"/>
    </row>
    <row r="134" ht="15.75" customHeight="1">
      <c r="A134" s="18"/>
      <c r="B134" s="19"/>
      <c r="C134" s="18"/>
      <c r="D134" s="19"/>
      <c r="E134" s="18"/>
      <c r="F134" s="19"/>
      <c r="G134" s="18"/>
    </row>
    <row r="135" ht="15.75" customHeight="1">
      <c r="A135" s="18"/>
      <c r="B135" s="19"/>
      <c r="C135" s="18"/>
      <c r="D135" s="19"/>
      <c r="E135" s="18"/>
      <c r="F135" s="19"/>
      <c r="G135" s="18"/>
    </row>
    <row r="136" ht="15.75" customHeight="1">
      <c r="A136" s="18"/>
      <c r="B136" s="19"/>
      <c r="C136" s="18"/>
      <c r="D136" s="19"/>
      <c r="E136" s="18"/>
      <c r="F136" s="19"/>
      <c r="G136" s="18"/>
    </row>
    <row r="137" ht="15.75" customHeight="1">
      <c r="A137" s="18"/>
      <c r="B137" s="19"/>
      <c r="C137" s="18"/>
      <c r="D137" s="19"/>
      <c r="E137" s="18"/>
      <c r="F137" s="19"/>
      <c r="G137" s="18"/>
    </row>
    <row r="138" ht="15.75" customHeight="1">
      <c r="A138" s="18"/>
      <c r="B138" s="19"/>
      <c r="C138" s="18"/>
      <c r="D138" s="19"/>
      <c r="E138" s="18"/>
      <c r="F138" s="19"/>
      <c r="G138" s="18"/>
    </row>
    <row r="139" ht="15.75" customHeight="1">
      <c r="A139" s="18"/>
      <c r="B139" s="19"/>
      <c r="C139" s="18"/>
      <c r="D139" s="19"/>
      <c r="E139" s="18"/>
      <c r="F139" s="19"/>
      <c r="G139" s="18"/>
    </row>
    <row r="140" ht="15.75" customHeight="1">
      <c r="A140" s="18"/>
      <c r="B140" s="19"/>
      <c r="C140" s="18"/>
      <c r="D140" s="19"/>
      <c r="E140" s="18"/>
      <c r="F140" s="19"/>
      <c r="G140" s="18"/>
    </row>
    <row r="141" ht="15.75" customHeight="1">
      <c r="A141" s="18"/>
      <c r="B141" s="19"/>
      <c r="C141" s="18"/>
      <c r="D141" s="19"/>
      <c r="E141" s="18"/>
      <c r="F141" s="19"/>
      <c r="G141" s="18"/>
    </row>
    <row r="142" ht="15.75" customHeight="1">
      <c r="A142" s="18"/>
      <c r="B142" s="19"/>
      <c r="C142" s="18"/>
      <c r="D142" s="19"/>
      <c r="E142" s="18"/>
      <c r="F142" s="19"/>
      <c r="G142" s="18"/>
    </row>
    <row r="143" ht="15.75" customHeight="1">
      <c r="A143" s="18"/>
      <c r="B143" s="19"/>
      <c r="C143" s="18"/>
      <c r="D143" s="19"/>
      <c r="E143" s="18"/>
      <c r="F143" s="19"/>
      <c r="G143" s="18"/>
    </row>
    <row r="144" ht="15.75" customHeight="1">
      <c r="A144" s="18"/>
      <c r="B144" s="19"/>
      <c r="C144" s="18"/>
      <c r="D144" s="19"/>
      <c r="E144" s="18"/>
      <c r="F144" s="19"/>
      <c r="G144" s="18"/>
    </row>
    <row r="145" ht="15.75" customHeight="1">
      <c r="A145" s="18"/>
      <c r="B145" s="19"/>
      <c r="C145" s="18"/>
      <c r="D145" s="19"/>
      <c r="E145" s="18"/>
      <c r="F145" s="19"/>
      <c r="G145" s="18"/>
    </row>
    <row r="146" ht="15.75" customHeight="1">
      <c r="A146" s="18"/>
      <c r="B146" s="19"/>
      <c r="C146" s="18"/>
      <c r="D146" s="19"/>
      <c r="E146" s="18"/>
      <c r="F146" s="19"/>
      <c r="G146" s="18"/>
    </row>
    <row r="147" ht="15.75" customHeight="1">
      <c r="A147" s="18"/>
      <c r="B147" s="19"/>
      <c r="C147" s="18"/>
      <c r="D147" s="19"/>
      <c r="E147" s="18"/>
      <c r="F147" s="19"/>
      <c r="G147" s="18"/>
    </row>
    <row r="148" ht="15.75" customHeight="1">
      <c r="A148" s="18"/>
      <c r="B148" s="19"/>
      <c r="C148" s="18"/>
      <c r="D148" s="19"/>
      <c r="E148" s="18"/>
      <c r="F148" s="19"/>
      <c r="G148" s="18"/>
    </row>
    <row r="149" ht="15.75" customHeight="1">
      <c r="A149" s="18"/>
      <c r="B149" s="19"/>
      <c r="C149" s="18"/>
      <c r="D149" s="19"/>
      <c r="E149" s="18"/>
      <c r="F149" s="19"/>
      <c r="G149" s="18"/>
    </row>
    <row r="150" ht="15.75" customHeight="1">
      <c r="A150" s="18"/>
      <c r="B150" s="19"/>
      <c r="C150" s="18"/>
      <c r="D150" s="19"/>
      <c r="E150" s="18"/>
      <c r="F150" s="19"/>
      <c r="G150" s="18"/>
    </row>
    <row r="151" ht="15.75" customHeight="1">
      <c r="A151" s="18"/>
      <c r="B151" s="19"/>
      <c r="C151" s="18"/>
      <c r="D151" s="19"/>
      <c r="E151" s="18"/>
      <c r="F151" s="19"/>
      <c r="G151" s="18"/>
    </row>
    <row r="152" ht="15.75" customHeight="1">
      <c r="A152" s="18"/>
      <c r="B152" s="19"/>
      <c r="C152" s="18"/>
      <c r="D152" s="19"/>
      <c r="E152" s="18"/>
      <c r="F152" s="19"/>
      <c r="G152" s="18"/>
    </row>
    <row r="153" ht="15.75" customHeight="1">
      <c r="A153" s="18"/>
      <c r="B153" s="19"/>
      <c r="C153" s="18"/>
      <c r="D153" s="19"/>
      <c r="E153" s="18"/>
      <c r="F153" s="19"/>
      <c r="G153" s="18"/>
    </row>
    <row r="154" ht="15.75" customHeight="1">
      <c r="A154" s="18"/>
      <c r="B154" s="19"/>
      <c r="C154" s="18"/>
      <c r="D154" s="19"/>
      <c r="E154" s="18"/>
      <c r="F154" s="19"/>
      <c r="G154" s="18"/>
    </row>
    <row r="155" ht="15.75" customHeight="1">
      <c r="A155" s="18"/>
      <c r="B155" s="19"/>
      <c r="C155" s="18"/>
      <c r="D155" s="19"/>
      <c r="E155" s="18"/>
      <c r="F155" s="19"/>
      <c r="G155" s="18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4:G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12.0"/>
    <col customWidth="1" min="3" max="3" width="16.0"/>
    <col customWidth="1" min="4" max="4" width="12.0"/>
    <col customWidth="1" min="5" max="5" width="40.0"/>
    <col customWidth="1" min="6" max="26" width="8.71"/>
  </cols>
  <sheetData>
    <row r="1" ht="27.75" customHeight="1">
      <c r="A1" s="1" t="s">
        <v>97</v>
      </c>
      <c r="B1" s="2"/>
      <c r="C1" s="2"/>
      <c r="D1" s="2"/>
      <c r="E1" s="3"/>
    </row>
    <row r="2" ht="19.5" customHeight="1">
      <c r="A2" s="5" t="s">
        <v>98</v>
      </c>
      <c r="B2" s="2"/>
      <c r="C2" s="2"/>
      <c r="D2" s="2"/>
      <c r="E2" s="3"/>
    </row>
    <row r="4">
      <c r="A4" s="6" t="s">
        <v>99</v>
      </c>
    </row>
    <row r="5">
      <c r="A5" s="7" t="s">
        <v>3</v>
      </c>
      <c r="B5" s="7" t="s">
        <v>87</v>
      </c>
      <c r="C5" s="7" t="s">
        <v>100</v>
      </c>
      <c r="D5" s="7" t="s">
        <v>101</v>
      </c>
      <c r="E5" s="7" t="s">
        <v>102</v>
      </c>
    </row>
    <row r="6">
      <c r="A6" s="18">
        <v>0.0</v>
      </c>
      <c r="B6" s="20">
        <f>TL_Resumen!$H6</f>
        <v>0</v>
      </c>
      <c r="C6" s="18" t="s">
        <v>103</v>
      </c>
      <c r="D6" s="20" t="str">
        <f t="shared" ref="D6:D21" si="1">IF($C6="","-", $B6-$C6)</f>
        <v>-</v>
      </c>
      <c r="E6" s="23"/>
    </row>
    <row r="7">
      <c r="A7" s="18">
        <v>1.0</v>
      </c>
      <c r="B7" s="20">
        <f>TL_Resumen!$H7</f>
        <v>0</v>
      </c>
      <c r="C7" s="18" t="s">
        <v>103</v>
      </c>
      <c r="D7" s="20" t="str">
        <f t="shared" si="1"/>
        <v>-</v>
      </c>
      <c r="E7" s="23"/>
    </row>
    <row r="8">
      <c r="A8" s="18">
        <v>2.0</v>
      </c>
      <c r="B8" s="20">
        <f>TL_Resumen!$H8</f>
        <v>0</v>
      </c>
      <c r="C8" s="18" t="s">
        <v>103</v>
      </c>
      <c r="D8" s="20" t="str">
        <f t="shared" si="1"/>
        <v>-</v>
      </c>
      <c r="E8" s="23"/>
    </row>
    <row r="9">
      <c r="A9" s="18">
        <v>3.0</v>
      </c>
      <c r="B9" s="20">
        <f>TL_Resumen!$H9</f>
        <v>0</v>
      </c>
      <c r="C9" s="18" t="s">
        <v>103</v>
      </c>
      <c r="D9" s="20" t="str">
        <f t="shared" si="1"/>
        <v>-</v>
      </c>
      <c r="E9" s="23"/>
    </row>
    <row r="10">
      <c r="A10" s="18">
        <v>4.0</v>
      </c>
      <c r="B10" s="20">
        <f>TL_Resumen!$H10</f>
        <v>0</v>
      </c>
      <c r="C10" s="18" t="s">
        <v>103</v>
      </c>
      <c r="D10" s="20" t="str">
        <f t="shared" si="1"/>
        <v>-</v>
      </c>
      <c r="E10" s="23"/>
    </row>
    <row r="11">
      <c r="A11" s="18">
        <v>5.0</v>
      </c>
      <c r="B11" s="20">
        <f>TL_Resumen!$H11</f>
        <v>0</v>
      </c>
      <c r="C11" s="18" t="s">
        <v>103</v>
      </c>
      <c r="D11" s="20" t="str">
        <f t="shared" si="1"/>
        <v>-</v>
      </c>
      <c r="E11" s="23"/>
    </row>
    <row r="12">
      <c r="A12" s="18">
        <v>6.0</v>
      </c>
      <c r="B12" s="20">
        <f>TL_Resumen!$H12</f>
        <v>0</v>
      </c>
      <c r="C12" s="18" t="s">
        <v>103</v>
      </c>
      <c r="D12" s="20" t="str">
        <f t="shared" si="1"/>
        <v>-</v>
      </c>
      <c r="E12" s="23"/>
    </row>
    <row r="13">
      <c r="A13" s="18">
        <v>7.0</v>
      </c>
      <c r="B13" s="20">
        <f>TL_Resumen!$H13</f>
        <v>0</v>
      </c>
      <c r="C13" s="18" t="s">
        <v>103</v>
      </c>
      <c r="D13" s="20" t="str">
        <f t="shared" si="1"/>
        <v>-</v>
      </c>
      <c r="E13" s="23"/>
    </row>
    <row r="14">
      <c r="A14" s="18">
        <v>8.0</v>
      </c>
      <c r="B14" s="20">
        <f>TL_Resumen!$H14</f>
        <v>0</v>
      </c>
      <c r="C14" s="18" t="s">
        <v>103</v>
      </c>
      <c r="D14" s="20" t="str">
        <f t="shared" si="1"/>
        <v>-</v>
      </c>
      <c r="E14" s="23"/>
    </row>
    <row r="15">
      <c r="A15" s="18">
        <v>9.0</v>
      </c>
      <c r="B15" s="20">
        <f>TL_Resumen!$H15</f>
        <v>0</v>
      </c>
      <c r="C15" s="18" t="s">
        <v>103</v>
      </c>
      <c r="D15" s="20" t="str">
        <f t="shared" si="1"/>
        <v>-</v>
      </c>
      <c r="E15" s="23"/>
    </row>
    <row r="16">
      <c r="A16" s="18">
        <v>10.0</v>
      </c>
      <c r="B16" s="20">
        <f>TL_Resumen!$H16</f>
        <v>0</v>
      </c>
      <c r="C16" s="18" t="s">
        <v>103</v>
      </c>
      <c r="D16" s="20" t="str">
        <f t="shared" si="1"/>
        <v>-</v>
      </c>
      <c r="E16" s="23"/>
    </row>
    <row r="17">
      <c r="A17" s="18">
        <v>11.0</v>
      </c>
      <c r="B17" s="20">
        <f>TL_Resumen!$H17</f>
        <v>0</v>
      </c>
      <c r="C17" s="18" t="s">
        <v>103</v>
      </c>
      <c r="D17" s="20" t="str">
        <f t="shared" si="1"/>
        <v>-</v>
      </c>
      <c r="E17" s="23"/>
    </row>
    <row r="18">
      <c r="A18" s="18">
        <v>12.0</v>
      </c>
      <c r="B18" s="20">
        <f>TL_Resumen!$H18</f>
        <v>0</v>
      </c>
      <c r="C18" s="18" t="s">
        <v>103</v>
      </c>
      <c r="D18" s="20" t="str">
        <f t="shared" si="1"/>
        <v>-</v>
      </c>
      <c r="E18" s="23"/>
    </row>
    <row r="19">
      <c r="A19" s="18">
        <v>13.0</v>
      </c>
      <c r="B19" s="20">
        <f>TL_Resumen!$H19</f>
        <v>0</v>
      </c>
      <c r="C19" s="18" t="s">
        <v>103</v>
      </c>
      <c r="D19" s="20" t="str">
        <f t="shared" si="1"/>
        <v>-</v>
      </c>
      <c r="E19" s="23"/>
    </row>
    <row r="20">
      <c r="A20" s="18">
        <v>14.0</v>
      </c>
      <c r="B20" s="20">
        <f>TL_Resumen!$H20</f>
        <v>0</v>
      </c>
      <c r="C20" s="18" t="s">
        <v>103</v>
      </c>
      <c r="D20" s="20" t="str">
        <f t="shared" si="1"/>
        <v>-</v>
      </c>
      <c r="E20" s="23"/>
    </row>
    <row r="21" ht="15.75" customHeight="1">
      <c r="A21" s="18">
        <v>15.0</v>
      </c>
      <c r="B21" s="20">
        <f>TL_Resumen!$H21</f>
        <v>0</v>
      </c>
      <c r="C21" s="18" t="s">
        <v>103</v>
      </c>
      <c r="D21" s="20" t="str">
        <f t="shared" si="1"/>
        <v>-</v>
      </c>
      <c r="E21" s="23"/>
    </row>
    <row r="22" ht="15.75" customHeight="1">
      <c r="A22" s="18"/>
      <c r="B22" s="20"/>
      <c r="C22" s="18"/>
      <c r="D22" s="20"/>
      <c r="E22" s="23"/>
    </row>
    <row r="23" ht="15.75" customHeight="1">
      <c r="A23" s="18"/>
      <c r="B23" s="20"/>
      <c r="C23" s="18"/>
      <c r="D23" s="20"/>
      <c r="E23" s="23"/>
    </row>
    <row r="24" ht="15.75" customHeight="1">
      <c r="A24" s="18"/>
      <c r="B24" s="20"/>
      <c r="C24" s="18"/>
      <c r="D24" s="20"/>
      <c r="E24" s="23"/>
    </row>
    <row r="25" ht="15.75" customHeight="1">
      <c r="A25" s="18"/>
      <c r="B25" s="20"/>
      <c r="C25" s="18"/>
      <c r="D25" s="20"/>
      <c r="E25" s="23"/>
    </row>
    <row r="26" ht="15.75" customHeight="1">
      <c r="A26" s="18"/>
      <c r="B26" s="20"/>
      <c r="C26" s="18"/>
      <c r="D26" s="20"/>
      <c r="E26" s="23"/>
    </row>
    <row r="27" ht="15.75" customHeight="1">
      <c r="A27" s="18"/>
      <c r="B27" s="20"/>
      <c r="C27" s="18"/>
      <c r="D27" s="20"/>
      <c r="E27" s="23"/>
    </row>
    <row r="28" ht="15.75" customHeight="1">
      <c r="A28" s="18"/>
      <c r="B28" s="20"/>
      <c r="C28" s="18"/>
      <c r="D28" s="20"/>
      <c r="E28" s="23"/>
    </row>
    <row r="29" ht="15.75" customHeight="1">
      <c r="A29" s="18"/>
      <c r="B29" s="20"/>
      <c r="C29" s="18"/>
      <c r="D29" s="20"/>
      <c r="E29" s="23"/>
    </row>
    <row r="30" ht="15.75" customHeight="1">
      <c r="A30" s="18"/>
      <c r="B30" s="20"/>
      <c r="C30" s="18"/>
      <c r="D30" s="20"/>
      <c r="E30" s="23"/>
    </row>
    <row r="31" ht="15.75" customHeight="1">
      <c r="A31" s="18"/>
      <c r="B31" s="20"/>
      <c r="C31" s="18"/>
      <c r="D31" s="20"/>
      <c r="E31" s="23"/>
    </row>
    <row r="32" ht="15.75" customHeight="1">
      <c r="A32" s="18"/>
      <c r="B32" s="20"/>
      <c r="C32" s="18"/>
      <c r="D32" s="20"/>
      <c r="E32" s="23"/>
    </row>
    <row r="33" ht="15.75" customHeight="1">
      <c r="A33" s="18"/>
      <c r="B33" s="20"/>
      <c r="C33" s="18"/>
      <c r="D33" s="20"/>
      <c r="E33" s="23"/>
    </row>
    <row r="34" ht="15.75" customHeight="1">
      <c r="A34" s="18"/>
      <c r="B34" s="20"/>
      <c r="C34" s="18"/>
      <c r="D34" s="20"/>
      <c r="E34" s="23"/>
    </row>
    <row r="35" ht="15.75" customHeight="1">
      <c r="A35" s="18"/>
      <c r="B35" s="20"/>
      <c r="C35" s="18"/>
      <c r="D35" s="20"/>
      <c r="E35" s="23"/>
    </row>
    <row r="36" ht="15.75" customHeight="1">
      <c r="A36" s="18"/>
      <c r="B36" s="20"/>
      <c r="C36" s="18"/>
      <c r="D36" s="20"/>
      <c r="E36" s="23"/>
    </row>
    <row r="37" ht="15.75" customHeight="1">
      <c r="A37" s="18"/>
      <c r="B37" s="20"/>
      <c r="C37" s="18"/>
      <c r="D37" s="20"/>
      <c r="E37" s="23"/>
    </row>
    <row r="38" ht="15.75" customHeight="1">
      <c r="A38" s="18"/>
      <c r="B38" s="20"/>
      <c r="C38" s="18"/>
      <c r="D38" s="20"/>
      <c r="E38" s="23"/>
    </row>
    <row r="39" ht="15.75" customHeight="1">
      <c r="A39" s="18"/>
      <c r="B39" s="20"/>
      <c r="C39" s="18"/>
      <c r="D39" s="20"/>
      <c r="E39" s="23"/>
    </row>
    <row r="40" ht="15.75" customHeight="1">
      <c r="A40" s="18"/>
      <c r="B40" s="20"/>
      <c r="C40" s="18"/>
      <c r="D40" s="20"/>
      <c r="E40" s="23"/>
    </row>
    <row r="41" ht="15.75" customHeight="1">
      <c r="A41" s="18"/>
      <c r="B41" s="20"/>
      <c r="C41" s="18"/>
      <c r="D41" s="20"/>
      <c r="E41" s="23"/>
    </row>
    <row r="42" ht="15.75" customHeight="1">
      <c r="A42" s="18"/>
      <c r="B42" s="20"/>
      <c r="C42" s="18"/>
      <c r="D42" s="20"/>
      <c r="E42" s="23"/>
    </row>
    <row r="43" ht="15.75" customHeight="1">
      <c r="A43" s="18"/>
      <c r="B43" s="20"/>
      <c r="C43" s="18"/>
      <c r="D43" s="20"/>
      <c r="E43" s="23"/>
    </row>
    <row r="44" ht="15.75" customHeight="1">
      <c r="A44" s="18"/>
      <c r="B44" s="20"/>
      <c r="C44" s="18"/>
      <c r="D44" s="20"/>
      <c r="E44" s="23"/>
    </row>
    <row r="45" ht="15.75" customHeight="1">
      <c r="A45" s="18"/>
      <c r="B45" s="20"/>
      <c r="C45" s="18"/>
      <c r="D45" s="20"/>
      <c r="E45" s="23"/>
    </row>
    <row r="46" ht="15.75" customHeight="1">
      <c r="A46" s="18"/>
      <c r="B46" s="20"/>
      <c r="C46" s="18"/>
      <c r="D46" s="20"/>
      <c r="E46" s="23"/>
    </row>
    <row r="47" ht="15.75" customHeight="1">
      <c r="A47" s="18"/>
      <c r="B47" s="20"/>
      <c r="C47" s="18"/>
      <c r="D47" s="20"/>
      <c r="E47" s="23"/>
    </row>
    <row r="48" ht="15.75" customHeight="1">
      <c r="A48" s="18"/>
      <c r="B48" s="20"/>
      <c r="C48" s="18"/>
      <c r="D48" s="20"/>
      <c r="E48" s="23"/>
    </row>
    <row r="49" ht="15.75" customHeight="1">
      <c r="A49" s="18"/>
      <c r="B49" s="20"/>
      <c r="C49" s="18"/>
      <c r="D49" s="20"/>
      <c r="E49" s="23"/>
    </row>
    <row r="50" ht="15.75" customHeight="1">
      <c r="A50" s="18"/>
      <c r="B50" s="20"/>
      <c r="C50" s="18"/>
      <c r="D50" s="20"/>
      <c r="E50" s="23"/>
    </row>
    <row r="51" ht="15.75" customHeight="1">
      <c r="A51" s="18"/>
      <c r="B51" s="20"/>
      <c r="C51" s="18"/>
      <c r="D51" s="20"/>
      <c r="E51" s="23"/>
    </row>
    <row r="52" ht="15.75" customHeight="1">
      <c r="A52" s="18"/>
      <c r="B52" s="20"/>
      <c r="C52" s="18"/>
      <c r="D52" s="20"/>
      <c r="E52" s="23"/>
    </row>
    <row r="53" ht="15.75" customHeight="1">
      <c r="A53" s="18"/>
      <c r="B53" s="20"/>
      <c r="C53" s="18"/>
      <c r="D53" s="20"/>
      <c r="E53" s="23"/>
    </row>
    <row r="54" ht="15.75" customHeight="1">
      <c r="A54" s="18"/>
      <c r="B54" s="20"/>
      <c r="C54" s="18"/>
      <c r="D54" s="20"/>
      <c r="E54" s="23"/>
    </row>
    <row r="55" ht="15.75" customHeight="1">
      <c r="A55" s="18"/>
      <c r="B55" s="20"/>
      <c r="C55" s="18"/>
      <c r="D55" s="20"/>
      <c r="E55" s="23"/>
    </row>
    <row r="56" ht="15.75" customHeight="1">
      <c r="A56" s="18"/>
      <c r="B56" s="20"/>
      <c r="C56" s="18"/>
      <c r="D56" s="20"/>
      <c r="E56" s="23"/>
    </row>
    <row r="57" ht="15.75" customHeight="1">
      <c r="A57" s="18"/>
      <c r="B57" s="20"/>
      <c r="C57" s="18"/>
      <c r="D57" s="20"/>
      <c r="E57" s="23"/>
    </row>
    <row r="58" ht="15.75" customHeight="1">
      <c r="A58" s="18"/>
      <c r="B58" s="20"/>
      <c r="C58" s="18"/>
      <c r="D58" s="20"/>
      <c r="E58" s="23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4:E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4.0"/>
    <col customWidth="1" min="3" max="3" width="36.0"/>
    <col customWidth="1" min="4" max="4" width="16.0"/>
    <col customWidth="1" min="5" max="5" width="18.0"/>
    <col customWidth="1" min="6" max="6" width="12.0"/>
    <col customWidth="1" min="7" max="26" width="8.71"/>
  </cols>
  <sheetData>
    <row r="1" ht="27.75" customHeight="1">
      <c r="A1" s="1" t="s">
        <v>104</v>
      </c>
      <c r="B1" s="2"/>
      <c r="C1" s="2"/>
      <c r="D1" s="2"/>
      <c r="E1" s="2"/>
      <c r="F1" s="3"/>
    </row>
    <row r="2" ht="19.5" customHeight="1">
      <c r="A2" s="5" t="s">
        <v>105</v>
      </c>
      <c r="B2" s="2"/>
      <c r="C2" s="2"/>
      <c r="D2" s="2"/>
      <c r="E2" s="2"/>
      <c r="F2" s="3"/>
    </row>
    <row r="4">
      <c r="A4" s="6" t="s">
        <v>106</v>
      </c>
    </row>
    <row r="5">
      <c r="A5" s="7" t="s">
        <v>50</v>
      </c>
      <c r="B5" s="7" t="s">
        <v>51</v>
      </c>
      <c r="C5" s="7" t="s">
        <v>107</v>
      </c>
      <c r="D5" s="7" t="s">
        <v>108</v>
      </c>
      <c r="E5" s="7" t="s">
        <v>76</v>
      </c>
      <c r="F5" s="7" t="s">
        <v>77</v>
      </c>
    </row>
    <row r="6">
      <c r="A6" s="18"/>
      <c r="B6" s="19"/>
      <c r="C6" s="19"/>
      <c r="D6" s="18"/>
      <c r="E6" s="18"/>
      <c r="F6" s="18"/>
    </row>
    <row r="7">
      <c r="A7" s="18"/>
      <c r="B7" s="19"/>
      <c r="C7" s="19"/>
      <c r="D7" s="18"/>
      <c r="E7" s="18"/>
      <c r="F7" s="18"/>
    </row>
    <row r="8">
      <c r="A8" s="18"/>
      <c r="B8" s="19"/>
      <c r="C8" s="19"/>
      <c r="D8" s="18"/>
      <c r="E8" s="18"/>
      <c r="F8" s="18"/>
    </row>
    <row r="9">
      <c r="A9" s="18"/>
      <c r="B9" s="19"/>
      <c r="C9" s="19"/>
      <c r="D9" s="18"/>
      <c r="E9" s="18"/>
      <c r="F9" s="18"/>
    </row>
    <row r="10">
      <c r="A10" s="18"/>
      <c r="B10" s="19"/>
      <c r="C10" s="19"/>
      <c r="D10" s="18"/>
      <c r="E10" s="18"/>
      <c r="F10" s="18"/>
    </row>
    <row r="11">
      <c r="A11" s="18"/>
      <c r="B11" s="19"/>
      <c r="C11" s="19"/>
      <c r="D11" s="18"/>
      <c r="E11" s="18"/>
      <c r="F11" s="18"/>
    </row>
    <row r="12">
      <c r="A12" s="18"/>
      <c r="B12" s="19"/>
      <c r="C12" s="19"/>
      <c r="D12" s="18"/>
      <c r="E12" s="18"/>
      <c r="F12" s="18"/>
    </row>
    <row r="13">
      <c r="A13" s="18"/>
      <c r="B13" s="19"/>
      <c r="C13" s="19"/>
      <c r="D13" s="18"/>
      <c r="E13" s="18"/>
      <c r="F13" s="18"/>
    </row>
    <row r="14">
      <c r="A14" s="18"/>
      <c r="B14" s="19"/>
      <c r="C14" s="19"/>
      <c r="D14" s="18"/>
      <c r="E14" s="18"/>
      <c r="F14" s="18"/>
    </row>
    <row r="15">
      <c r="A15" s="18"/>
      <c r="B15" s="19"/>
      <c r="C15" s="19"/>
      <c r="D15" s="18"/>
      <c r="E15" s="18"/>
      <c r="F15" s="18"/>
    </row>
    <row r="16">
      <c r="A16" s="18"/>
      <c r="B16" s="19"/>
      <c r="C16" s="19"/>
      <c r="D16" s="18"/>
      <c r="E16" s="18"/>
      <c r="F16" s="18"/>
    </row>
    <row r="17">
      <c r="A17" s="18"/>
      <c r="B17" s="19"/>
      <c r="C17" s="19"/>
      <c r="D17" s="18"/>
      <c r="E17" s="18"/>
      <c r="F17" s="18"/>
    </row>
    <row r="18">
      <c r="A18" s="18"/>
      <c r="B18" s="19"/>
      <c r="C18" s="19"/>
      <c r="D18" s="18"/>
      <c r="E18" s="18"/>
      <c r="F18" s="18"/>
    </row>
    <row r="19">
      <c r="A19" s="18"/>
      <c r="B19" s="19"/>
      <c r="C19" s="19"/>
      <c r="D19" s="18"/>
      <c r="E19" s="18"/>
      <c r="F19" s="18"/>
    </row>
    <row r="20">
      <c r="A20" s="18"/>
      <c r="B20" s="19"/>
      <c r="C20" s="19"/>
      <c r="D20" s="18"/>
      <c r="E20" s="18"/>
      <c r="F20" s="18"/>
    </row>
    <row r="21" ht="15.75" customHeight="1">
      <c r="A21" s="18"/>
      <c r="B21" s="19"/>
      <c r="C21" s="19"/>
      <c r="D21" s="18"/>
      <c r="E21" s="18"/>
      <c r="F21" s="18"/>
    </row>
    <row r="22" ht="15.75" customHeight="1">
      <c r="A22" s="18"/>
      <c r="B22" s="19"/>
      <c r="C22" s="19"/>
      <c r="D22" s="18"/>
      <c r="E22" s="18"/>
      <c r="F22" s="18"/>
    </row>
    <row r="23" ht="15.75" customHeight="1">
      <c r="A23" s="18"/>
      <c r="B23" s="19"/>
      <c r="C23" s="19"/>
      <c r="D23" s="18"/>
      <c r="E23" s="18"/>
      <c r="F23" s="18"/>
    </row>
    <row r="24" ht="15.75" customHeight="1">
      <c r="A24" s="18"/>
      <c r="B24" s="19"/>
      <c r="C24" s="19"/>
      <c r="D24" s="18"/>
      <c r="E24" s="18"/>
      <c r="F24" s="18"/>
    </row>
    <row r="25" ht="15.75" customHeight="1">
      <c r="A25" s="18"/>
      <c r="B25" s="19"/>
      <c r="C25" s="19"/>
      <c r="D25" s="18"/>
      <c r="E25" s="18"/>
      <c r="F25" s="18"/>
    </row>
    <row r="26" ht="15.75" customHeight="1">
      <c r="A26" s="18"/>
      <c r="B26" s="19"/>
      <c r="C26" s="19"/>
      <c r="D26" s="18"/>
      <c r="E26" s="18"/>
      <c r="F26" s="18"/>
    </row>
    <row r="27" ht="15.75" customHeight="1">
      <c r="A27" s="18"/>
      <c r="B27" s="19"/>
      <c r="C27" s="19"/>
      <c r="D27" s="18"/>
      <c r="E27" s="18"/>
      <c r="F27" s="18"/>
    </row>
    <row r="28" ht="15.75" customHeight="1">
      <c r="A28" s="18"/>
      <c r="B28" s="19"/>
      <c r="C28" s="19"/>
      <c r="D28" s="18"/>
      <c r="E28" s="18"/>
      <c r="F28" s="18"/>
    </row>
    <row r="29" ht="15.75" customHeight="1">
      <c r="A29" s="18"/>
      <c r="B29" s="19"/>
      <c r="C29" s="19"/>
      <c r="D29" s="18"/>
      <c r="E29" s="18"/>
      <c r="F29" s="18"/>
    </row>
    <row r="30" ht="15.75" customHeight="1">
      <c r="A30" s="18"/>
      <c r="B30" s="19"/>
      <c r="C30" s="19"/>
      <c r="D30" s="18"/>
      <c r="E30" s="18"/>
      <c r="F30" s="18"/>
    </row>
    <row r="31" ht="15.75" customHeight="1">
      <c r="A31" s="18"/>
      <c r="B31" s="19"/>
      <c r="C31" s="19"/>
      <c r="D31" s="18"/>
      <c r="E31" s="18"/>
      <c r="F31" s="18"/>
    </row>
    <row r="32" ht="15.75" customHeight="1">
      <c r="A32" s="18"/>
      <c r="B32" s="19"/>
      <c r="C32" s="19"/>
      <c r="D32" s="18"/>
      <c r="E32" s="18"/>
      <c r="F32" s="18"/>
    </row>
    <row r="33" ht="15.75" customHeight="1">
      <c r="A33" s="18"/>
      <c r="B33" s="19"/>
      <c r="C33" s="19"/>
      <c r="D33" s="18"/>
      <c r="E33" s="18"/>
      <c r="F33" s="18"/>
    </row>
    <row r="34" ht="15.75" customHeight="1">
      <c r="A34" s="18"/>
      <c r="B34" s="19"/>
      <c r="C34" s="19"/>
      <c r="D34" s="18"/>
      <c r="E34" s="18"/>
      <c r="F34" s="18"/>
    </row>
    <row r="35" ht="15.75" customHeight="1">
      <c r="A35" s="18"/>
      <c r="B35" s="19"/>
      <c r="C35" s="19"/>
      <c r="D35" s="18"/>
      <c r="E35" s="18"/>
      <c r="F35" s="18"/>
    </row>
    <row r="36" ht="15.75" customHeight="1">
      <c r="A36" s="18"/>
      <c r="B36" s="19"/>
      <c r="C36" s="19"/>
      <c r="D36" s="18"/>
      <c r="E36" s="18"/>
      <c r="F36" s="18"/>
    </row>
    <row r="37" ht="15.75" customHeight="1">
      <c r="A37" s="18"/>
      <c r="B37" s="19"/>
      <c r="C37" s="19"/>
      <c r="D37" s="18"/>
      <c r="E37" s="18"/>
      <c r="F37" s="18"/>
    </row>
    <row r="38" ht="15.75" customHeight="1">
      <c r="A38" s="18"/>
      <c r="B38" s="19"/>
      <c r="C38" s="19"/>
      <c r="D38" s="18"/>
      <c r="E38" s="18"/>
      <c r="F38" s="18"/>
    </row>
    <row r="39" ht="15.75" customHeight="1">
      <c r="A39" s="18"/>
      <c r="B39" s="19"/>
      <c r="C39" s="19"/>
      <c r="D39" s="18"/>
      <c r="E39" s="18"/>
      <c r="F39" s="18"/>
    </row>
    <row r="40" ht="15.75" customHeight="1">
      <c r="A40" s="18"/>
      <c r="B40" s="19"/>
      <c r="C40" s="19"/>
      <c r="D40" s="18"/>
      <c r="E40" s="18"/>
      <c r="F40" s="18"/>
    </row>
    <row r="41" ht="15.75" customHeight="1">
      <c r="A41" s="18"/>
      <c r="B41" s="19"/>
      <c r="C41" s="19"/>
      <c r="D41" s="18"/>
      <c r="E41" s="18"/>
      <c r="F41" s="18"/>
    </row>
    <row r="42" ht="15.75" customHeight="1">
      <c r="A42" s="18"/>
      <c r="B42" s="19"/>
      <c r="C42" s="19"/>
      <c r="D42" s="18"/>
      <c r="E42" s="18"/>
      <c r="F42" s="18"/>
    </row>
    <row r="43" ht="15.75" customHeight="1">
      <c r="A43" s="18"/>
      <c r="B43" s="19"/>
      <c r="C43" s="19"/>
      <c r="D43" s="18"/>
      <c r="E43" s="18"/>
      <c r="F43" s="18"/>
    </row>
    <row r="44" ht="15.75" customHeight="1">
      <c r="A44" s="18"/>
      <c r="B44" s="19"/>
      <c r="C44" s="19"/>
      <c r="D44" s="18"/>
      <c r="E44" s="18"/>
      <c r="F44" s="18"/>
    </row>
    <row r="45" ht="15.75" customHeight="1">
      <c r="A45" s="18"/>
      <c r="B45" s="19"/>
      <c r="C45" s="19"/>
      <c r="D45" s="18"/>
      <c r="E45" s="18"/>
      <c r="F45" s="18"/>
    </row>
    <row r="46" ht="15.75" customHeight="1">
      <c r="A46" s="18"/>
      <c r="B46" s="19"/>
      <c r="C46" s="19"/>
      <c r="D46" s="18"/>
      <c r="E46" s="18"/>
      <c r="F46" s="18"/>
    </row>
    <row r="47" ht="15.75" customHeight="1">
      <c r="A47" s="18"/>
      <c r="B47" s="19"/>
      <c r="C47" s="19"/>
      <c r="D47" s="18"/>
      <c r="E47" s="18"/>
      <c r="F47" s="18"/>
    </row>
    <row r="48" ht="15.75" customHeight="1">
      <c r="A48" s="18"/>
      <c r="B48" s="19"/>
      <c r="C48" s="19"/>
      <c r="D48" s="18"/>
      <c r="E48" s="18"/>
      <c r="F48" s="18"/>
    </row>
    <row r="49" ht="15.75" customHeight="1">
      <c r="A49" s="18"/>
      <c r="B49" s="19"/>
      <c r="C49" s="19"/>
      <c r="D49" s="18"/>
      <c r="E49" s="18"/>
      <c r="F49" s="18"/>
    </row>
    <row r="50" ht="15.75" customHeight="1">
      <c r="A50" s="18"/>
      <c r="B50" s="19"/>
      <c r="C50" s="19"/>
      <c r="D50" s="18"/>
      <c r="E50" s="18"/>
      <c r="F50" s="18"/>
    </row>
    <row r="51" ht="15.75" customHeight="1">
      <c r="A51" s="18"/>
      <c r="B51" s="19"/>
      <c r="C51" s="19"/>
      <c r="D51" s="18"/>
      <c r="E51" s="18"/>
      <c r="F51" s="18"/>
    </row>
    <row r="52" ht="15.75" customHeight="1">
      <c r="A52" s="18"/>
      <c r="B52" s="19"/>
      <c r="C52" s="19"/>
      <c r="D52" s="18"/>
      <c r="E52" s="18"/>
      <c r="F52" s="18"/>
    </row>
    <row r="53" ht="15.75" customHeight="1">
      <c r="A53" s="18"/>
      <c r="B53" s="19"/>
      <c r="C53" s="19"/>
      <c r="D53" s="18"/>
      <c r="E53" s="18"/>
      <c r="F53" s="18"/>
    </row>
    <row r="54" ht="15.75" customHeight="1">
      <c r="A54" s="18"/>
      <c r="B54" s="19"/>
      <c r="C54" s="19"/>
      <c r="D54" s="18"/>
      <c r="E54" s="18"/>
      <c r="F54" s="18"/>
    </row>
    <row r="55" ht="15.75" customHeight="1">
      <c r="A55" s="18"/>
      <c r="B55" s="19"/>
      <c r="C55" s="19"/>
      <c r="D55" s="18"/>
      <c r="E55" s="18"/>
      <c r="F55" s="18"/>
    </row>
    <row r="56" ht="15.75" customHeight="1">
      <c r="A56" s="18"/>
      <c r="B56" s="19"/>
      <c r="C56" s="19"/>
      <c r="D56" s="18"/>
      <c r="E56" s="18"/>
      <c r="F56" s="18"/>
    </row>
    <row r="57" ht="15.75" customHeight="1">
      <c r="A57" s="18"/>
      <c r="B57" s="19"/>
      <c r="C57" s="19"/>
      <c r="D57" s="18"/>
      <c r="E57" s="18"/>
      <c r="F57" s="18"/>
    </row>
    <row r="58" ht="15.75" customHeight="1">
      <c r="A58" s="18"/>
      <c r="B58" s="19"/>
      <c r="C58" s="19"/>
      <c r="D58" s="18"/>
      <c r="E58" s="18"/>
      <c r="F58" s="18"/>
    </row>
    <row r="59" ht="15.75" customHeight="1">
      <c r="A59" s="18"/>
      <c r="B59" s="19"/>
      <c r="C59" s="19"/>
      <c r="D59" s="18"/>
      <c r="E59" s="18"/>
      <c r="F59" s="18"/>
    </row>
    <row r="60" ht="15.75" customHeight="1">
      <c r="A60" s="18"/>
      <c r="B60" s="19"/>
      <c r="C60" s="19"/>
      <c r="D60" s="18"/>
      <c r="E60" s="18"/>
      <c r="F60" s="18"/>
    </row>
    <row r="61" ht="15.75" customHeight="1">
      <c r="A61" s="18"/>
      <c r="B61" s="19"/>
      <c r="C61" s="19"/>
      <c r="D61" s="18"/>
      <c r="E61" s="18"/>
      <c r="F61" s="18"/>
    </row>
    <row r="62" ht="15.75" customHeight="1">
      <c r="A62" s="18"/>
      <c r="B62" s="19"/>
      <c r="C62" s="19"/>
      <c r="D62" s="18"/>
      <c r="E62" s="18"/>
      <c r="F62" s="18"/>
    </row>
    <row r="63" ht="15.75" customHeight="1">
      <c r="A63" s="18"/>
      <c r="B63" s="19"/>
      <c r="C63" s="19"/>
      <c r="D63" s="18"/>
      <c r="E63" s="18"/>
      <c r="F63" s="18"/>
    </row>
    <row r="64" ht="15.75" customHeight="1">
      <c r="A64" s="18"/>
      <c r="B64" s="19"/>
      <c r="C64" s="19"/>
      <c r="D64" s="18"/>
      <c r="E64" s="18"/>
      <c r="F64" s="18"/>
    </row>
    <row r="65" ht="15.75" customHeight="1">
      <c r="A65" s="18"/>
      <c r="B65" s="19"/>
      <c r="C65" s="19"/>
      <c r="D65" s="18"/>
      <c r="E65" s="18"/>
      <c r="F65" s="18"/>
    </row>
    <row r="66" ht="15.75" customHeight="1">
      <c r="A66" s="18"/>
      <c r="B66" s="19"/>
      <c r="C66" s="19"/>
      <c r="D66" s="18"/>
      <c r="E66" s="18"/>
      <c r="F66" s="18"/>
    </row>
    <row r="67" ht="15.75" customHeight="1">
      <c r="A67" s="18"/>
      <c r="B67" s="19"/>
      <c r="C67" s="19"/>
      <c r="D67" s="18"/>
      <c r="E67" s="18"/>
      <c r="F67" s="18"/>
    </row>
    <row r="68" ht="15.75" customHeight="1">
      <c r="A68" s="18"/>
      <c r="B68" s="19"/>
      <c r="C68" s="19"/>
      <c r="D68" s="18"/>
      <c r="E68" s="18"/>
      <c r="F68" s="18"/>
    </row>
    <row r="69" ht="15.75" customHeight="1">
      <c r="A69" s="18"/>
      <c r="B69" s="19"/>
      <c r="C69" s="19"/>
      <c r="D69" s="18"/>
      <c r="E69" s="18"/>
      <c r="F69" s="18"/>
    </row>
    <row r="70" ht="15.75" customHeight="1">
      <c r="A70" s="18"/>
      <c r="B70" s="19"/>
      <c r="C70" s="19"/>
      <c r="D70" s="18"/>
      <c r="E70" s="18"/>
      <c r="F70" s="18"/>
    </row>
    <row r="71" ht="15.75" customHeight="1">
      <c r="A71" s="18"/>
      <c r="B71" s="19"/>
      <c r="C71" s="19"/>
      <c r="D71" s="18"/>
      <c r="E71" s="18"/>
      <c r="F71" s="18"/>
    </row>
    <row r="72" ht="15.75" customHeight="1">
      <c r="A72" s="18"/>
      <c r="B72" s="19"/>
      <c r="C72" s="19"/>
      <c r="D72" s="18"/>
      <c r="E72" s="18"/>
      <c r="F72" s="18"/>
    </row>
    <row r="73" ht="15.75" customHeight="1">
      <c r="A73" s="18"/>
      <c r="B73" s="19"/>
      <c r="C73" s="19"/>
      <c r="D73" s="18"/>
      <c r="E73" s="18"/>
      <c r="F73" s="18"/>
    </row>
    <row r="74" ht="15.75" customHeight="1">
      <c r="A74" s="18"/>
      <c r="B74" s="19"/>
      <c r="C74" s="19"/>
      <c r="D74" s="18"/>
      <c r="E74" s="18"/>
      <c r="F74" s="18"/>
    </row>
    <row r="75" ht="15.75" customHeight="1">
      <c r="A75" s="18"/>
      <c r="B75" s="19"/>
      <c r="C75" s="19"/>
      <c r="D75" s="18"/>
      <c r="E75" s="18"/>
      <c r="F75" s="18"/>
    </row>
    <row r="76" ht="15.75" customHeight="1">
      <c r="A76" s="18"/>
      <c r="B76" s="19"/>
      <c r="C76" s="19"/>
      <c r="D76" s="18"/>
      <c r="E76" s="18"/>
      <c r="F76" s="18"/>
    </row>
    <row r="77" ht="15.75" customHeight="1">
      <c r="A77" s="18"/>
      <c r="B77" s="19"/>
      <c r="C77" s="19"/>
      <c r="D77" s="18"/>
      <c r="E77" s="18"/>
      <c r="F77" s="18"/>
    </row>
    <row r="78" ht="15.75" customHeight="1">
      <c r="A78" s="18"/>
      <c r="B78" s="19"/>
      <c r="C78" s="19"/>
      <c r="D78" s="18"/>
      <c r="E78" s="18"/>
      <c r="F78" s="18"/>
    </row>
    <row r="79" ht="15.75" customHeight="1">
      <c r="A79" s="18"/>
      <c r="B79" s="19"/>
      <c r="C79" s="19"/>
      <c r="D79" s="18"/>
      <c r="E79" s="18"/>
      <c r="F79" s="18"/>
    </row>
    <row r="80" ht="15.75" customHeight="1">
      <c r="A80" s="18"/>
      <c r="B80" s="19"/>
      <c r="C80" s="19"/>
      <c r="D80" s="18"/>
      <c r="E80" s="18"/>
      <c r="F80" s="18"/>
    </row>
    <row r="81" ht="15.75" customHeight="1">
      <c r="A81" s="18"/>
      <c r="B81" s="19"/>
      <c r="C81" s="19"/>
      <c r="D81" s="18"/>
      <c r="E81" s="18"/>
      <c r="F81" s="18"/>
    </row>
    <row r="82" ht="15.75" customHeight="1">
      <c r="A82" s="18"/>
      <c r="B82" s="19"/>
      <c r="C82" s="19"/>
      <c r="D82" s="18"/>
      <c r="E82" s="18"/>
      <c r="F82" s="18"/>
    </row>
    <row r="83" ht="15.75" customHeight="1">
      <c r="A83" s="18"/>
      <c r="B83" s="19"/>
      <c r="C83" s="19"/>
      <c r="D83" s="18"/>
      <c r="E83" s="18"/>
      <c r="F83" s="18"/>
    </row>
    <row r="84" ht="15.75" customHeight="1">
      <c r="A84" s="18"/>
      <c r="B84" s="19"/>
      <c r="C84" s="19"/>
      <c r="D84" s="18"/>
      <c r="E84" s="18"/>
      <c r="F84" s="18"/>
    </row>
    <row r="85" ht="15.75" customHeight="1">
      <c r="A85" s="18"/>
      <c r="B85" s="19"/>
      <c r="C85" s="19"/>
      <c r="D85" s="18"/>
      <c r="E85" s="18"/>
      <c r="F85" s="18"/>
    </row>
    <row r="86" ht="15.75" customHeight="1">
      <c r="A86" s="18"/>
      <c r="B86" s="19"/>
      <c r="C86" s="19"/>
      <c r="D86" s="18"/>
      <c r="E86" s="18"/>
      <c r="F86" s="18"/>
    </row>
    <row r="87" ht="15.75" customHeight="1">
      <c r="A87" s="18"/>
      <c r="B87" s="19"/>
      <c r="C87" s="19"/>
      <c r="D87" s="18"/>
      <c r="E87" s="18"/>
      <c r="F87" s="18"/>
    </row>
    <row r="88" ht="15.75" customHeight="1">
      <c r="A88" s="18"/>
      <c r="B88" s="19"/>
      <c r="C88" s="19"/>
      <c r="D88" s="18"/>
      <c r="E88" s="18"/>
      <c r="F88" s="18"/>
    </row>
    <row r="89" ht="15.75" customHeight="1">
      <c r="A89" s="18"/>
      <c r="B89" s="19"/>
      <c r="C89" s="19"/>
      <c r="D89" s="18"/>
      <c r="E89" s="18"/>
      <c r="F89" s="18"/>
    </row>
    <row r="90" ht="15.75" customHeight="1">
      <c r="A90" s="18"/>
      <c r="B90" s="19"/>
      <c r="C90" s="19"/>
      <c r="D90" s="18"/>
      <c r="E90" s="18"/>
      <c r="F90" s="18"/>
    </row>
    <row r="91" ht="15.75" customHeight="1">
      <c r="A91" s="18"/>
      <c r="B91" s="19"/>
      <c r="C91" s="19"/>
      <c r="D91" s="18"/>
      <c r="E91" s="18"/>
      <c r="F91" s="18"/>
    </row>
    <row r="92" ht="15.75" customHeight="1">
      <c r="A92" s="18"/>
      <c r="B92" s="19"/>
      <c r="C92" s="19"/>
      <c r="D92" s="18"/>
      <c r="E92" s="18"/>
      <c r="F92" s="18"/>
    </row>
    <row r="93" ht="15.75" customHeight="1">
      <c r="A93" s="18"/>
      <c r="B93" s="19"/>
      <c r="C93" s="19"/>
      <c r="D93" s="18"/>
      <c r="E93" s="18"/>
      <c r="F93" s="18"/>
    </row>
    <row r="94" ht="15.75" customHeight="1">
      <c r="A94" s="18"/>
      <c r="B94" s="19"/>
      <c r="C94" s="19"/>
      <c r="D94" s="18"/>
      <c r="E94" s="18"/>
      <c r="F94" s="18"/>
    </row>
    <row r="95" ht="15.75" customHeight="1">
      <c r="A95" s="18"/>
      <c r="B95" s="19"/>
      <c r="C95" s="19"/>
      <c r="D95" s="18"/>
      <c r="E95" s="18"/>
      <c r="F95" s="18"/>
    </row>
    <row r="96" ht="15.75" customHeight="1">
      <c r="A96" s="18"/>
      <c r="B96" s="19"/>
      <c r="C96" s="19"/>
      <c r="D96" s="18"/>
      <c r="E96" s="18"/>
      <c r="F96" s="18"/>
    </row>
    <row r="97" ht="15.75" customHeight="1">
      <c r="A97" s="18"/>
      <c r="B97" s="19"/>
      <c r="C97" s="19"/>
      <c r="D97" s="18"/>
      <c r="E97" s="18"/>
      <c r="F97" s="18"/>
    </row>
    <row r="98" ht="15.75" customHeight="1">
      <c r="A98" s="18"/>
      <c r="B98" s="19"/>
      <c r="C98" s="19"/>
      <c r="D98" s="18"/>
      <c r="E98" s="18"/>
      <c r="F98" s="18"/>
    </row>
    <row r="99" ht="15.75" customHeight="1">
      <c r="A99" s="18"/>
      <c r="B99" s="19"/>
      <c r="C99" s="19"/>
      <c r="D99" s="18"/>
      <c r="E99" s="18"/>
      <c r="F99" s="18"/>
    </row>
    <row r="100" ht="15.75" customHeight="1">
      <c r="A100" s="18"/>
      <c r="B100" s="19"/>
      <c r="C100" s="19"/>
      <c r="D100" s="18"/>
      <c r="E100" s="18"/>
      <c r="F100" s="18"/>
    </row>
    <row r="101" ht="15.75" customHeight="1">
      <c r="A101" s="18"/>
      <c r="B101" s="19"/>
      <c r="C101" s="19"/>
      <c r="D101" s="18"/>
      <c r="E101" s="18"/>
      <c r="F101" s="18"/>
    </row>
    <row r="102" ht="15.75" customHeight="1">
      <c r="A102" s="18"/>
      <c r="B102" s="19"/>
      <c r="C102" s="19"/>
      <c r="D102" s="18"/>
      <c r="E102" s="18"/>
      <c r="F102" s="18"/>
    </row>
    <row r="103" ht="15.75" customHeight="1">
      <c r="A103" s="18"/>
      <c r="B103" s="19"/>
      <c r="C103" s="19"/>
      <c r="D103" s="18"/>
      <c r="E103" s="18"/>
      <c r="F103" s="18"/>
    </row>
    <row r="104" ht="15.75" customHeight="1">
      <c r="A104" s="18"/>
      <c r="B104" s="19"/>
      <c r="C104" s="19"/>
      <c r="D104" s="18"/>
      <c r="E104" s="18"/>
      <c r="F104" s="18"/>
    </row>
    <row r="105" ht="15.75" customHeight="1">
      <c r="A105" s="18"/>
      <c r="B105" s="19"/>
      <c r="C105" s="19"/>
      <c r="D105" s="18"/>
      <c r="E105" s="18"/>
      <c r="F105" s="18"/>
    </row>
    <row r="106" ht="15.75" customHeight="1">
      <c r="A106" s="18"/>
      <c r="B106" s="19"/>
      <c r="C106" s="19"/>
      <c r="D106" s="18"/>
      <c r="E106" s="18"/>
      <c r="F106" s="18"/>
    </row>
    <row r="107" ht="15.75" customHeight="1">
      <c r="A107" s="18"/>
      <c r="B107" s="19"/>
      <c r="C107" s="19"/>
      <c r="D107" s="18"/>
      <c r="E107" s="18"/>
      <c r="F107" s="18"/>
    </row>
    <row r="108" ht="15.75" customHeight="1">
      <c r="A108" s="18"/>
      <c r="B108" s="19"/>
      <c r="C108" s="19"/>
      <c r="D108" s="18"/>
      <c r="E108" s="18"/>
      <c r="F108" s="18"/>
    </row>
    <row r="109" ht="15.75" customHeight="1">
      <c r="A109" s="18"/>
      <c r="B109" s="19"/>
      <c r="C109" s="19"/>
      <c r="D109" s="18"/>
      <c r="E109" s="18"/>
      <c r="F109" s="18"/>
    </row>
    <row r="110" ht="15.75" customHeight="1">
      <c r="A110" s="18"/>
      <c r="B110" s="19"/>
      <c r="C110" s="19"/>
      <c r="D110" s="18"/>
      <c r="E110" s="18"/>
      <c r="F110" s="18"/>
    </row>
    <row r="111" ht="15.75" customHeight="1">
      <c r="A111" s="18"/>
      <c r="B111" s="19"/>
      <c r="C111" s="19"/>
      <c r="D111" s="18"/>
      <c r="E111" s="18"/>
      <c r="F111" s="18"/>
    </row>
    <row r="112" ht="15.75" customHeight="1">
      <c r="A112" s="18"/>
      <c r="B112" s="19"/>
      <c r="C112" s="19"/>
      <c r="D112" s="18"/>
      <c r="E112" s="18"/>
      <c r="F112" s="18"/>
    </row>
    <row r="113" ht="15.75" customHeight="1">
      <c r="A113" s="18"/>
      <c r="B113" s="19"/>
      <c r="C113" s="19"/>
      <c r="D113" s="18"/>
      <c r="E113" s="18"/>
      <c r="F113" s="18"/>
    </row>
    <row r="114" ht="15.75" customHeight="1">
      <c r="A114" s="18"/>
      <c r="B114" s="19"/>
      <c r="C114" s="19"/>
      <c r="D114" s="18"/>
      <c r="E114" s="18"/>
      <c r="F114" s="18"/>
    </row>
    <row r="115" ht="15.75" customHeight="1">
      <c r="A115" s="18"/>
      <c r="B115" s="19"/>
      <c r="C115" s="19"/>
      <c r="D115" s="18"/>
      <c r="E115" s="18"/>
      <c r="F115" s="18"/>
    </row>
    <row r="116" ht="15.75" customHeight="1">
      <c r="A116" s="18"/>
      <c r="B116" s="19"/>
      <c r="C116" s="19"/>
      <c r="D116" s="18"/>
      <c r="E116" s="18"/>
      <c r="F116" s="18"/>
    </row>
    <row r="117" ht="15.75" customHeight="1">
      <c r="A117" s="18"/>
      <c r="B117" s="19"/>
      <c r="C117" s="19"/>
      <c r="D117" s="18"/>
      <c r="E117" s="18"/>
      <c r="F117" s="18"/>
    </row>
    <row r="118" ht="15.75" customHeight="1">
      <c r="A118" s="18"/>
      <c r="B118" s="19"/>
      <c r="C118" s="19"/>
      <c r="D118" s="18"/>
      <c r="E118" s="18"/>
      <c r="F118" s="18"/>
    </row>
    <row r="119" ht="15.75" customHeight="1">
      <c r="A119" s="18"/>
      <c r="B119" s="19"/>
      <c r="C119" s="19"/>
      <c r="D119" s="18"/>
      <c r="E119" s="18"/>
      <c r="F119" s="18"/>
    </row>
    <row r="120" ht="15.75" customHeight="1">
      <c r="A120" s="18"/>
      <c r="B120" s="19"/>
      <c r="C120" s="19"/>
      <c r="D120" s="18"/>
      <c r="E120" s="18"/>
      <c r="F120" s="18"/>
    </row>
    <row r="121" ht="15.75" customHeight="1">
      <c r="A121" s="18"/>
      <c r="B121" s="19"/>
      <c r="C121" s="19"/>
      <c r="D121" s="18"/>
      <c r="E121" s="18"/>
      <c r="F121" s="18"/>
    </row>
    <row r="122" ht="15.75" customHeight="1">
      <c r="A122" s="18"/>
      <c r="B122" s="19"/>
      <c r="C122" s="19"/>
      <c r="D122" s="18"/>
      <c r="E122" s="18"/>
      <c r="F122" s="18"/>
    </row>
    <row r="123" ht="15.75" customHeight="1">
      <c r="A123" s="18"/>
      <c r="B123" s="19"/>
      <c r="C123" s="19"/>
      <c r="D123" s="18"/>
      <c r="E123" s="18"/>
      <c r="F123" s="18"/>
    </row>
    <row r="124" ht="15.75" customHeight="1">
      <c r="A124" s="18"/>
      <c r="B124" s="19"/>
      <c r="C124" s="19"/>
      <c r="D124" s="18"/>
      <c r="E124" s="18"/>
      <c r="F124" s="18"/>
    </row>
    <row r="125" ht="15.75" customHeight="1">
      <c r="A125" s="18"/>
      <c r="B125" s="19"/>
      <c r="C125" s="19"/>
      <c r="D125" s="18"/>
      <c r="E125" s="18"/>
      <c r="F125" s="18"/>
    </row>
    <row r="126" ht="15.75" customHeight="1">
      <c r="A126" s="18"/>
      <c r="B126" s="19"/>
      <c r="C126" s="19"/>
      <c r="D126" s="18"/>
      <c r="E126" s="18"/>
      <c r="F126" s="18"/>
    </row>
    <row r="127" ht="15.75" customHeight="1">
      <c r="A127" s="18"/>
      <c r="B127" s="19"/>
      <c r="C127" s="19"/>
      <c r="D127" s="18"/>
      <c r="E127" s="18"/>
      <c r="F127" s="18"/>
    </row>
    <row r="128" ht="15.75" customHeight="1">
      <c r="A128" s="18"/>
      <c r="B128" s="19"/>
      <c r="C128" s="19"/>
      <c r="D128" s="18"/>
      <c r="E128" s="18"/>
      <c r="F128" s="18"/>
    </row>
    <row r="129" ht="15.75" customHeight="1">
      <c r="A129" s="18"/>
      <c r="B129" s="19"/>
      <c r="C129" s="19"/>
      <c r="D129" s="18"/>
      <c r="E129" s="18"/>
      <c r="F129" s="18"/>
    </row>
    <row r="130" ht="15.75" customHeight="1">
      <c r="A130" s="18"/>
      <c r="B130" s="19"/>
      <c r="C130" s="19"/>
      <c r="D130" s="18"/>
      <c r="E130" s="18"/>
      <c r="F130" s="18"/>
    </row>
    <row r="131" ht="15.75" customHeight="1">
      <c r="A131" s="18"/>
      <c r="B131" s="19"/>
      <c r="C131" s="19"/>
      <c r="D131" s="18"/>
      <c r="E131" s="18"/>
      <c r="F131" s="18"/>
    </row>
    <row r="132" ht="15.75" customHeight="1">
      <c r="A132" s="18"/>
      <c r="B132" s="19"/>
      <c r="C132" s="19"/>
      <c r="D132" s="18"/>
      <c r="E132" s="18"/>
      <c r="F132" s="18"/>
    </row>
    <row r="133" ht="15.75" customHeight="1">
      <c r="A133" s="18"/>
      <c r="B133" s="19"/>
      <c r="C133" s="19"/>
      <c r="D133" s="18"/>
      <c r="E133" s="18"/>
      <c r="F133" s="18"/>
    </row>
    <row r="134" ht="15.75" customHeight="1">
      <c r="A134" s="18"/>
      <c r="B134" s="19"/>
      <c r="C134" s="19"/>
      <c r="D134" s="18"/>
      <c r="E134" s="18"/>
      <c r="F134" s="18"/>
    </row>
    <row r="135" ht="15.75" customHeight="1">
      <c r="A135" s="18"/>
      <c r="B135" s="19"/>
      <c r="C135" s="19"/>
      <c r="D135" s="18"/>
      <c r="E135" s="18"/>
      <c r="F135" s="18"/>
    </row>
    <row r="136" ht="15.75" customHeight="1">
      <c r="A136" s="18"/>
      <c r="B136" s="19"/>
      <c r="C136" s="19"/>
      <c r="D136" s="18"/>
      <c r="E136" s="18"/>
      <c r="F136" s="18"/>
    </row>
    <row r="137" ht="15.75" customHeight="1">
      <c r="A137" s="18"/>
      <c r="B137" s="19"/>
      <c r="C137" s="19"/>
      <c r="D137" s="18"/>
      <c r="E137" s="18"/>
      <c r="F137" s="18"/>
    </row>
    <row r="138" ht="15.75" customHeight="1">
      <c r="A138" s="18"/>
      <c r="B138" s="19"/>
      <c r="C138" s="19"/>
      <c r="D138" s="18"/>
      <c r="E138" s="18"/>
      <c r="F138" s="18"/>
    </row>
    <row r="139" ht="15.75" customHeight="1">
      <c r="A139" s="18"/>
      <c r="B139" s="19"/>
      <c r="C139" s="19"/>
      <c r="D139" s="18"/>
      <c r="E139" s="18"/>
      <c r="F139" s="18"/>
    </row>
    <row r="140" ht="15.75" customHeight="1">
      <c r="A140" s="18"/>
      <c r="B140" s="19"/>
      <c r="C140" s="19"/>
      <c r="D140" s="18"/>
      <c r="E140" s="18"/>
      <c r="F140" s="18"/>
    </row>
    <row r="141" ht="15.75" customHeight="1">
      <c r="A141" s="18"/>
      <c r="B141" s="19"/>
      <c r="C141" s="19"/>
      <c r="D141" s="18"/>
      <c r="E141" s="18"/>
      <c r="F141" s="18"/>
    </row>
    <row r="142" ht="15.75" customHeight="1">
      <c r="A142" s="18"/>
      <c r="B142" s="19"/>
      <c r="C142" s="19"/>
      <c r="D142" s="18"/>
      <c r="E142" s="18"/>
      <c r="F142" s="18"/>
    </row>
    <row r="143" ht="15.75" customHeight="1">
      <c r="A143" s="18"/>
      <c r="B143" s="19"/>
      <c r="C143" s="19"/>
      <c r="D143" s="18"/>
      <c r="E143" s="18"/>
      <c r="F143" s="18"/>
    </row>
    <row r="144" ht="15.75" customHeight="1">
      <c r="A144" s="18"/>
      <c r="B144" s="19"/>
      <c r="C144" s="19"/>
      <c r="D144" s="18"/>
      <c r="E144" s="18"/>
      <c r="F144" s="18"/>
    </row>
    <row r="145" ht="15.75" customHeight="1">
      <c r="A145" s="18"/>
      <c r="B145" s="19"/>
      <c r="C145" s="19"/>
      <c r="D145" s="18"/>
      <c r="E145" s="18"/>
      <c r="F145" s="18"/>
    </row>
    <row r="146" ht="15.75" customHeight="1">
      <c r="A146" s="18"/>
      <c r="B146" s="19"/>
      <c r="C146" s="19"/>
      <c r="D146" s="18"/>
      <c r="E146" s="18"/>
      <c r="F146" s="18"/>
    </row>
    <row r="147" ht="15.75" customHeight="1">
      <c r="A147" s="18"/>
      <c r="B147" s="19"/>
      <c r="C147" s="19"/>
      <c r="D147" s="18"/>
      <c r="E147" s="18"/>
      <c r="F147" s="18"/>
    </row>
    <row r="148" ht="15.75" customHeight="1">
      <c r="A148" s="18"/>
      <c r="B148" s="19"/>
      <c r="C148" s="19"/>
      <c r="D148" s="18"/>
      <c r="E148" s="18"/>
      <c r="F148" s="18"/>
    </row>
    <row r="149" ht="15.75" customHeight="1">
      <c r="A149" s="18"/>
      <c r="B149" s="19"/>
      <c r="C149" s="19"/>
      <c r="D149" s="18"/>
      <c r="E149" s="18"/>
      <c r="F149" s="18"/>
    </row>
    <row r="150" ht="15.75" customHeight="1">
      <c r="A150" s="18"/>
      <c r="B150" s="19"/>
      <c r="C150" s="19"/>
      <c r="D150" s="18"/>
      <c r="E150" s="18"/>
      <c r="F150" s="18"/>
    </row>
    <row r="151" ht="15.75" customHeight="1">
      <c r="A151" s="18"/>
      <c r="B151" s="19"/>
      <c r="C151" s="19"/>
      <c r="D151" s="18"/>
      <c r="E151" s="18"/>
      <c r="F151" s="18"/>
    </row>
    <row r="152" ht="15.75" customHeight="1">
      <c r="A152" s="18"/>
      <c r="B152" s="19"/>
      <c r="C152" s="19"/>
      <c r="D152" s="18"/>
      <c r="E152" s="18"/>
      <c r="F152" s="18"/>
    </row>
    <row r="153" ht="15.75" customHeight="1">
      <c r="A153" s="18"/>
      <c r="B153" s="19"/>
      <c r="C153" s="19"/>
      <c r="D153" s="18"/>
      <c r="E153" s="18"/>
      <c r="F153" s="18"/>
    </row>
    <row r="154" ht="15.75" customHeight="1">
      <c r="A154" s="18"/>
      <c r="B154" s="19"/>
      <c r="C154" s="19"/>
      <c r="D154" s="18"/>
      <c r="E154" s="18"/>
      <c r="F154" s="18"/>
    </row>
    <row r="155" ht="15.75" customHeight="1">
      <c r="A155" s="18"/>
      <c r="B155" s="19"/>
      <c r="C155" s="19"/>
      <c r="D155" s="18"/>
      <c r="E155" s="18"/>
      <c r="F155" s="18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4:F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52.0"/>
    <col customWidth="1" min="4" max="26" width="8.71"/>
  </cols>
  <sheetData>
    <row r="1" ht="27.75" customHeight="1">
      <c r="A1" s="1" t="s">
        <v>109</v>
      </c>
      <c r="B1" s="2"/>
      <c r="C1" s="2"/>
      <c r="D1" s="2"/>
      <c r="E1" s="2"/>
      <c r="F1" s="3"/>
    </row>
    <row r="2" ht="19.5" customHeight="1">
      <c r="A2" s="5" t="s">
        <v>110</v>
      </c>
      <c r="B2" s="2"/>
      <c r="C2" s="2"/>
      <c r="D2" s="2"/>
      <c r="E2" s="2"/>
      <c r="F2" s="3"/>
    </row>
    <row r="4">
      <c r="A4" s="7" t="s">
        <v>111</v>
      </c>
      <c r="B4" s="7" t="s">
        <v>112</v>
      </c>
      <c r="C4" s="7" t="s">
        <v>113</v>
      </c>
    </row>
    <row r="5">
      <c r="A5" s="23" t="s">
        <v>114</v>
      </c>
      <c r="B5" s="25">
        <v>15.0</v>
      </c>
      <c r="C5" s="23" t="s">
        <v>115</v>
      </c>
    </row>
    <row r="6">
      <c r="A6" s="23" t="s">
        <v>116</v>
      </c>
      <c r="B6" s="18">
        <v>5.0</v>
      </c>
      <c r="C6" s="23" t="s">
        <v>103</v>
      </c>
    </row>
    <row r="7">
      <c r="A7" s="23" t="s">
        <v>117</v>
      </c>
      <c r="B7" s="25">
        <v>3.0</v>
      </c>
      <c r="C7" s="23" t="s">
        <v>103</v>
      </c>
    </row>
    <row r="8">
      <c r="A8" s="23" t="s">
        <v>118</v>
      </c>
      <c r="B8" s="18">
        <v>0.7</v>
      </c>
      <c r="C8" s="23" t="s">
        <v>119</v>
      </c>
    </row>
    <row r="9">
      <c r="A9" s="23" t="s">
        <v>120</v>
      </c>
      <c r="B9" s="18">
        <v>1.0</v>
      </c>
      <c r="C9" s="23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5" width="16.0"/>
    <col customWidth="1" min="6" max="6" width="14.0"/>
    <col customWidth="1" min="7" max="7" width="30.0"/>
    <col customWidth="1" min="8" max="8" width="12.0"/>
    <col customWidth="1" min="9" max="26" width="8.71"/>
  </cols>
  <sheetData>
    <row r="1" ht="27.75" customHeight="1">
      <c r="A1" s="1" t="s">
        <v>122</v>
      </c>
      <c r="B1" s="2"/>
      <c r="C1" s="2"/>
      <c r="D1" s="2"/>
      <c r="E1" s="2"/>
      <c r="F1" s="2"/>
      <c r="G1" s="2"/>
      <c r="H1" s="3"/>
    </row>
    <row r="2" ht="19.5" customHeight="1">
      <c r="A2" s="5" t="s">
        <v>123</v>
      </c>
      <c r="B2" s="2"/>
      <c r="C2" s="2"/>
      <c r="D2" s="2"/>
      <c r="E2" s="2"/>
      <c r="F2" s="2"/>
      <c r="G2" s="2"/>
      <c r="H2" s="3"/>
    </row>
    <row r="4">
      <c r="A4" s="6" t="s">
        <v>124</v>
      </c>
    </row>
    <row r="5">
      <c r="A5" s="7" t="s">
        <v>50</v>
      </c>
      <c r="B5" s="7" t="s">
        <v>11</v>
      </c>
      <c r="C5" s="7" t="s">
        <v>4</v>
      </c>
      <c r="D5" s="7" t="s">
        <v>5</v>
      </c>
      <c r="E5" s="7" t="s">
        <v>6</v>
      </c>
      <c r="F5" s="7" t="s">
        <v>125</v>
      </c>
      <c r="G5" s="7" t="s">
        <v>58</v>
      </c>
      <c r="H5" s="7" t="s">
        <v>13</v>
      </c>
    </row>
    <row r="6">
      <c r="A6" s="18"/>
      <c r="B6" s="24" t="s">
        <v>34</v>
      </c>
      <c r="C6" s="18"/>
      <c r="D6" s="18"/>
      <c r="E6" s="18"/>
      <c r="F6" s="18"/>
      <c r="G6" s="15"/>
      <c r="H6" s="20" t="str">
        <f>IF($C6="","",IF($C6&gt;=Inputs!$B$5,"Verde",IF($C6&gt;=Inputs!$B$5*Inputs!$B$8,"Amarillo","Rojo")))</f>
        <v/>
      </c>
    </row>
    <row r="7">
      <c r="A7" s="18"/>
      <c r="B7" s="24" t="s">
        <v>126</v>
      </c>
      <c r="C7" s="18"/>
      <c r="D7" s="18"/>
      <c r="E7" s="18"/>
      <c r="F7" s="18"/>
      <c r="G7" s="15"/>
      <c r="H7" s="20" t="str">
        <f>IF($C7="","",IF($C7&gt;=Inputs!$B$5,"Verde",IF($C7&gt;=Inputs!$B$5*Inputs!$B$8,"Amarillo","Rojo")))</f>
        <v/>
      </c>
    </row>
    <row r="8">
      <c r="A8" s="18"/>
      <c r="B8" s="24" t="s">
        <v>30</v>
      </c>
      <c r="C8" s="18"/>
      <c r="D8" s="18"/>
      <c r="E8" s="18"/>
      <c r="F8" s="18"/>
      <c r="G8" s="15"/>
      <c r="H8" s="20" t="str">
        <f>IF($C8="","",IF($C8&gt;=Inputs!$B$5,"Verde",IF($C8&gt;=Inputs!$B$5*Inputs!$B$8,"Amarillo","Rojo")))</f>
        <v/>
      </c>
    </row>
    <row r="9">
      <c r="A9" s="18"/>
      <c r="B9" s="24" t="s">
        <v>15</v>
      </c>
      <c r="C9" s="18"/>
      <c r="D9" s="18"/>
      <c r="E9" s="18"/>
      <c r="F9" s="18"/>
      <c r="G9" s="15"/>
      <c r="H9" s="20" t="str">
        <f>IF($C9="","",IF($C9&gt;=Inputs!$B$5,"Verde",IF($C9&gt;=Inputs!$B$5*Inputs!$B$8,"Amarillo","Rojo")))</f>
        <v/>
      </c>
    </row>
    <row r="10">
      <c r="A10" s="18"/>
      <c r="B10" s="24" t="s">
        <v>27</v>
      </c>
      <c r="C10" s="18"/>
      <c r="D10" s="18"/>
      <c r="E10" s="18"/>
      <c r="F10" s="18"/>
      <c r="G10" s="15"/>
      <c r="H10" s="20" t="str">
        <f>IF($C10="","",IF($C10&gt;=Inputs!$B$5,"Verde",IF($C10&gt;=Inputs!$B$5*Inputs!$B$8,"Amarillo","Rojo")))</f>
        <v/>
      </c>
    </row>
    <row r="11">
      <c r="A11" s="18"/>
      <c r="B11" s="24" t="s">
        <v>41</v>
      </c>
      <c r="C11" s="18"/>
      <c r="D11" s="18"/>
      <c r="E11" s="18"/>
      <c r="F11" s="18"/>
      <c r="G11" s="15"/>
      <c r="H11" s="20" t="str">
        <f>IF($C11="","",IF($C11&gt;=Inputs!$B$5,"Verde",IF($C11&gt;=Inputs!$B$5*Inputs!$B$8,"Amarillo","Rojo")))</f>
        <v/>
      </c>
    </row>
    <row r="12">
      <c r="A12" s="18"/>
      <c r="B12" s="24" t="s">
        <v>38</v>
      </c>
      <c r="C12" s="18"/>
      <c r="D12" s="18"/>
      <c r="E12" s="18"/>
      <c r="F12" s="18"/>
      <c r="G12" s="15"/>
      <c r="H12" s="20" t="str">
        <f>IF($C12="","",IF($C12&gt;=Inputs!$B$5,"Verde",IF($C12&gt;=Inputs!$B$5*Inputs!$B$8,"Amarillo","Rojo")))</f>
        <v/>
      </c>
    </row>
    <row r="13">
      <c r="A13" s="18"/>
      <c r="B13" s="24" t="s">
        <v>45</v>
      </c>
      <c r="C13" s="18"/>
      <c r="D13" s="18"/>
      <c r="E13" s="18"/>
      <c r="F13" s="18"/>
      <c r="G13" s="15"/>
      <c r="H13" s="20" t="str">
        <f>IF($C13="","",IF($C13&gt;=Inputs!$B$5,"Verde",IF($C13&gt;=Inputs!$B$5*Inputs!$B$8,"Amarillo","Rojo")))</f>
        <v/>
      </c>
    </row>
    <row r="14">
      <c r="A14" s="18"/>
      <c r="B14" s="24" t="s">
        <v>46</v>
      </c>
      <c r="C14" s="18"/>
      <c r="D14" s="18"/>
      <c r="E14" s="18"/>
      <c r="F14" s="18"/>
      <c r="G14" s="15"/>
      <c r="H14" s="20" t="str">
        <f>IF($C14="","",IF($C14&gt;=Inputs!$B$5,"Verde",IF($C14&gt;=Inputs!$B$5*Inputs!$B$8,"Amarillo","Rojo")))</f>
        <v/>
      </c>
    </row>
    <row r="15">
      <c r="A15" s="18"/>
      <c r="B15" s="24" t="s">
        <v>28</v>
      </c>
      <c r="C15" s="18"/>
      <c r="D15" s="18"/>
      <c r="E15" s="18"/>
      <c r="F15" s="18"/>
      <c r="G15" s="15"/>
      <c r="H15" s="20" t="str">
        <f>IF($C15="","",IF($C15&gt;=Inputs!$B$5,"Verde",IF($C15&gt;=Inputs!$B$5*Inputs!$B$8,"Amarillo","Rojo")))</f>
        <v/>
      </c>
    </row>
    <row r="16">
      <c r="A16" s="18"/>
      <c r="B16" s="24" t="s">
        <v>31</v>
      </c>
      <c r="C16" s="18"/>
      <c r="D16" s="18"/>
      <c r="E16" s="18"/>
      <c r="F16" s="18"/>
      <c r="G16" s="15"/>
      <c r="H16" s="20" t="str">
        <f>IF($C16="","",IF($C16&gt;=Inputs!$B$5,"Verde",IF($C16&gt;=Inputs!$B$5*Inputs!$B$8,"Amarillo","Rojo")))</f>
        <v/>
      </c>
    </row>
    <row r="17">
      <c r="A17" s="18"/>
      <c r="B17" s="24" t="s">
        <v>25</v>
      </c>
      <c r="C17" s="18"/>
      <c r="D17" s="18"/>
      <c r="E17" s="18"/>
      <c r="F17" s="18"/>
      <c r="G17" s="15"/>
      <c r="H17" s="20" t="str">
        <f>IF($C17="","",IF($C17&gt;=Inputs!$B$5,"Verde",IF($C17&gt;=Inputs!$B$5*Inputs!$B$8,"Amarillo","Rojo")))</f>
        <v/>
      </c>
    </row>
    <row r="18">
      <c r="A18" s="18"/>
      <c r="B18" s="19"/>
      <c r="C18" s="18"/>
      <c r="D18" s="18"/>
      <c r="E18" s="18"/>
      <c r="F18" s="18"/>
      <c r="G18" s="15"/>
      <c r="H18" s="20" t="str">
        <f>IF($C18="","",IF($C18&gt;=Inputs!$B$5,"Verde",IF($C18&gt;=Inputs!$B$5*Inputs!$B$8,"Amarillo","Rojo")))</f>
        <v/>
      </c>
    </row>
    <row r="19">
      <c r="A19" s="18"/>
      <c r="B19" s="19"/>
      <c r="C19" s="18"/>
      <c r="D19" s="18"/>
      <c r="E19" s="18"/>
      <c r="F19" s="18"/>
      <c r="G19" s="15"/>
      <c r="H19" s="20" t="str">
        <f>IF($C19="","",IF($C19&gt;=Inputs!$B$5,"Verde",IF($C19&gt;=Inputs!$B$5*Inputs!$B$8,"Amarillo","Rojo")))</f>
        <v/>
      </c>
    </row>
    <row r="20">
      <c r="A20" s="18"/>
      <c r="B20" s="19"/>
      <c r="C20" s="18"/>
      <c r="D20" s="18"/>
      <c r="E20" s="18"/>
      <c r="F20" s="18"/>
      <c r="G20" s="15"/>
      <c r="H20" s="20" t="str">
        <f>IF($C20="","",IF($C20&gt;=Inputs!$B$5,"Verde",IF($C20&gt;=Inputs!$B$5*Inputs!$B$8,"Amarillo","Rojo")))</f>
        <v/>
      </c>
    </row>
    <row r="21" ht="15.75" customHeight="1">
      <c r="A21" s="18"/>
      <c r="B21" s="19"/>
      <c r="C21" s="18"/>
      <c r="D21" s="18"/>
      <c r="E21" s="18"/>
      <c r="F21" s="18"/>
      <c r="G21" s="15"/>
      <c r="H21" s="20" t="str">
        <f>IF($C21="","",IF($C21&gt;=Inputs!$B$5,"Verde",IF($C21&gt;=Inputs!$B$5*Inputs!$B$8,"Amarillo","Rojo")))</f>
        <v/>
      </c>
    </row>
    <row r="22" ht="15.75" customHeight="1">
      <c r="A22" s="18"/>
      <c r="B22" s="19"/>
      <c r="C22" s="18"/>
      <c r="D22" s="18"/>
      <c r="E22" s="18"/>
      <c r="F22" s="18"/>
      <c r="G22" s="15"/>
      <c r="H22" s="20" t="str">
        <f>IF($C22="","",IF($C22&gt;=Inputs!$B$5,"Verde",IF($C22&gt;=Inputs!$B$5*Inputs!$B$8,"Amarillo","Rojo")))</f>
        <v/>
      </c>
    </row>
    <row r="23" ht="15.75" customHeight="1">
      <c r="A23" s="18"/>
      <c r="B23" s="19"/>
      <c r="C23" s="18"/>
      <c r="D23" s="18"/>
      <c r="E23" s="18"/>
      <c r="F23" s="18"/>
      <c r="G23" s="15"/>
      <c r="H23" s="20" t="str">
        <f>IF($C23="","",IF($C23&gt;=Inputs!$B$5,"Verde",IF($C23&gt;=Inputs!$B$5*Inputs!$B$8,"Amarillo","Rojo")))</f>
        <v/>
      </c>
    </row>
    <row r="24" ht="15.75" customHeight="1">
      <c r="A24" s="18"/>
      <c r="B24" s="19"/>
      <c r="C24" s="18"/>
      <c r="D24" s="18"/>
      <c r="E24" s="18"/>
      <c r="F24" s="18"/>
      <c r="G24" s="15"/>
      <c r="H24" s="20" t="str">
        <f>IF($C24="","",IF($C24&gt;=Inputs!$B$5,"Verde",IF($C24&gt;=Inputs!$B$5*Inputs!$B$8,"Amarillo","Rojo")))</f>
        <v/>
      </c>
    </row>
    <row r="25" ht="15.75" customHeight="1">
      <c r="A25" s="18"/>
      <c r="B25" s="19"/>
      <c r="C25" s="18"/>
      <c r="D25" s="18"/>
      <c r="E25" s="18"/>
      <c r="F25" s="18"/>
      <c r="G25" s="15"/>
      <c r="H25" s="20" t="str">
        <f>IF($C25="","",IF($C25&gt;=Inputs!$B$5,"Verde",IF($C25&gt;=Inputs!$B$5*Inputs!$B$8,"Amarillo","Rojo")))</f>
        <v/>
      </c>
    </row>
    <row r="26" ht="15.75" customHeight="1">
      <c r="A26" s="18"/>
      <c r="B26" s="19"/>
      <c r="C26" s="18"/>
      <c r="D26" s="18"/>
      <c r="E26" s="18"/>
      <c r="F26" s="18"/>
      <c r="G26" s="15"/>
      <c r="H26" s="20" t="str">
        <f>IF($C26="","",IF($C26&gt;=Inputs!$B$5,"Verde",IF($C26&gt;=Inputs!$B$5*Inputs!$B$8,"Amarillo","Rojo")))</f>
        <v/>
      </c>
    </row>
    <row r="27" ht="15.75" customHeight="1">
      <c r="A27" s="18"/>
      <c r="B27" s="19"/>
      <c r="C27" s="18"/>
      <c r="D27" s="18"/>
      <c r="E27" s="18"/>
      <c r="F27" s="18"/>
      <c r="G27" s="15"/>
      <c r="H27" s="20" t="str">
        <f>IF($C27="","",IF($C27&gt;=Inputs!$B$5,"Verde",IF($C27&gt;=Inputs!$B$5*Inputs!$B$8,"Amarillo","Rojo")))</f>
        <v/>
      </c>
    </row>
    <row r="28" ht="15.75" customHeight="1">
      <c r="A28" s="18"/>
      <c r="B28" s="19"/>
      <c r="C28" s="18"/>
      <c r="D28" s="18"/>
      <c r="E28" s="18"/>
      <c r="F28" s="18"/>
      <c r="G28" s="15"/>
      <c r="H28" s="20" t="str">
        <f>IF($C28="","",IF($C28&gt;=Inputs!$B$5,"Verde",IF($C28&gt;=Inputs!$B$5*Inputs!$B$8,"Amarillo","Rojo")))</f>
        <v/>
      </c>
    </row>
    <row r="29" ht="15.75" customHeight="1">
      <c r="A29" s="18"/>
      <c r="B29" s="19"/>
      <c r="C29" s="18"/>
      <c r="D29" s="18"/>
      <c r="E29" s="18"/>
      <c r="F29" s="18"/>
      <c r="G29" s="15"/>
      <c r="H29" s="20" t="str">
        <f>IF($C29="","",IF($C29&gt;=Inputs!$B$5,"Verde",IF($C29&gt;=Inputs!$B$5*Inputs!$B$8,"Amarillo","Rojo")))</f>
        <v/>
      </c>
    </row>
    <row r="30" ht="15.75" customHeight="1">
      <c r="A30" s="18"/>
      <c r="B30" s="19"/>
      <c r="C30" s="18"/>
      <c r="D30" s="18"/>
      <c r="E30" s="18"/>
      <c r="F30" s="18"/>
      <c r="G30" s="15"/>
      <c r="H30" s="20" t="str">
        <f>IF($C30="","",IF($C30&gt;=Inputs!$B$5,"Verde",IF($C30&gt;=Inputs!$B$5*Inputs!$B$8,"Amarillo","Rojo")))</f>
        <v/>
      </c>
    </row>
    <row r="31" ht="15.75" customHeight="1">
      <c r="A31" s="18"/>
      <c r="B31" s="19"/>
      <c r="C31" s="18"/>
      <c r="D31" s="18"/>
      <c r="E31" s="18"/>
      <c r="F31" s="18"/>
      <c r="G31" s="15"/>
      <c r="H31" s="20" t="str">
        <f>IF($C31="","",IF($C31&gt;=Inputs!$B$5,"Verde",IF($C31&gt;=Inputs!$B$5*Inputs!$B$8,"Amarillo","Rojo")))</f>
        <v/>
      </c>
    </row>
    <row r="32" ht="15.75" customHeight="1">
      <c r="A32" s="18"/>
      <c r="B32" s="19"/>
      <c r="C32" s="18"/>
      <c r="D32" s="18"/>
      <c r="E32" s="18"/>
      <c r="F32" s="18"/>
      <c r="G32" s="15"/>
      <c r="H32" s="20" t="str">
        <f>IF($C32="","",IF($C32&gt;=Inputs!$B$5,"Verde",IF($C32&gt;=Inputs!$B$5*Inputs!$B$8,"Amarillo","Rojo")))</f>
        <v/>
      </c>
    </row>
    <row r="33" ht="15.75" customHeight="1">
      <c r="A33" s="18"/>
      <c r="B33" s="19"/>
      <c r="C33" s="18"/>
      <c r="D33" s="18"/>
      <c r="E33" s="18"/>
      <c r="F33" s="18"/>
      <c r="G33" s="15"/>
      <c r="H33" s="20" t="str">
        <f>IF($C33="","",IF($C33&gt;=Inputs!$B$5,"Verde",IF($C33&gt;=Inputs!$B$5*Inputs!$B$8,"Amarillo","Rojo")))</f>
        <v/>
      </c>
    </row>
    <row r="34" ht="15.75" customHeight="1">
      <c r="A34" s="18"/>
      <c r="B34" s="19"/>
      <c r="C34" s="18"/>
      <c r="D34" s="18"/>
      <c r="E34" s="18"/>
      <c r="F34" s="18"/>
      <c r="G34" s="15"/>
      <c r="H34" s="20" t="str">
        <f>IF($C34="","",IF($C34&gt;=Inputs!$B$5,"Verde",IF($C34&gt;=Inputs!$B$5*Inputs!$B$8,"Amarillo","Rojo")))</f>
        <v/>
      </c>
    </row>
    <row r="35" ht="15.75" customHeight="1">
      <c r="A35" s="18"/>
      <c r="B35" s="19"/>
      <c r="C35" s="18"/>
      <c r="D35" s="18"/>
      <c r="E35" s="18"/>
      <c r="F35" s="18"/>
      <c r="G35" s="15"/>
      <c r="H35" s="20" t="str">
        <f>IF($C35="","",IF($C35&gt;=Inputs!$B$5,"Verde",IF($C35&gt;=Inputs!$B$5*Inputs!$B$8,"Amarillo","Rojo")))</f>
        <v/>
      </c>
    </row>
    <row r="36" ht="15.75" customHeight="1">
      <c r="A36" s="18"/>
      <c r="B36" s="19"/>
      <c r="C36" s="18"/>
      <c r="D36" s="18"/>
      <c r="E36" s="18"/>
      <c r="F36" s="18"/>
      <c r="G36" s="15"/>
      <c r="H36" s="20" t="str">
        <f>IF($C36="","",IF($C36&gt;=Inputs!$B$5,"Verde",IF($C36&gt;=Inputs!$B$5*Inputs!$B$8,"Amarillo","Rojo")))</f>
        <v/>
      </c>
    </row>
    <row r="37" ht="15.75" customHeight="1">
      <c r="A37" s="18"/>
      <c r="B37" s="19"/>
      <c r="C37" s="18"/>
      <c r="D37" s="18"/>
      <c r="E37" s="18"/>
      <c r="F37" s="18"/>
      <c r="G37" s="15"/>
      <c r="H37" s="20" t="str">
        <f>IF($C37="","",IF($C37&gt;=Inputs!$B$5,"Verde",IF($C37&gt;=Inputs!$B$5*Inputs!$B$8,"Amarillo","Rojo")))</f>
        <v/>
      </c>
    </row>
    <row r="38" ht="15.75" customHeight="1">
      <c r="A38" s="18"/>
      <c r="B38" s="19"/>
      <c r="C38" s="18"/>
      <c r="D38" s="18"/>
      <c r="E38" s="18"/>
      <c r="F38" s="18"/>
      <c r="G38" s="15"/>
      <c r="H38" s="20" t="str">
        <f>IF($C38="","",IF($C38&gt;=Inputs!$B$5,"Verde",IF($C38&gt;=Inputs!$B$5*Inputs!$B$8,"Amarillo","Rojo")))</f>
        <v/>
      </c>
    </row>
    <row r="39" ht="15.75" customHeight="1">
      <c r="A39" s="18"/>
      <c r="B39" s="19"/>
      <c r="C39" s="18"/>
      <c r="D39" s="18"/>
      <c r="E39" s="18"/>
      <c r="F39" s="18"/>
      <c r="G39" s="15"/>
      <c r="H39" s="20" t="str">
        <f>IF($C39="","",IF($C39&gt;=Inputs!$B$5,"Verde",IF($C39&gt;=Inputs!$B$5*Inputs!$B$8,"Amarillo","Rojo")))</f>
        <v/>
      </c>
    </row>
    <row r="40" ht="15.75" customHeight="1">
      <c r="A40" s="18"/>
      <c r="B40" s="19"/>
      <c r="C40" s="18"/>
      <c r="D40" s="18"/>
      <c r="E40" s="18"/>
      <c r="F40" s="18"/>
      <c r="G40" s="15"/>
      <c r="H40" s="20" t="str">
        <f>IF($C40="","",IF($C40&gt;=Inputs!$B$5,"Verde",IF($C40&gt;=Inputs!$B$5*Inputs!$B$8,"Amarillo","Rojo")))</f>
        <v/>
      </c>
    </row>
    <row r="41" ht="15.75" customHeight="1">
      <c r="A41" s="18"/>
      <c r="B41" s="19"/>
      <c r="C41" s="18"/>
      <c r="D41" s="18"/>
      <c r="E41" s="18"/>
      <c r="F41" s="18"/>
      <c r="G41" s="15"/>
      <c r="H41" s="20" t="str">
        <f>IF($C41="","",IF($C41&gt;=Inputs!$B$5,"Verde",IF($C41&gt;=Inputs!$B$5*Inputs!$B$8,"Amarillo","Rojo")))</f>
        <v/>
      </c>
    </row>
    <row r="42" ht="15.75" customHeight="1">
      <c r="A42" s="18"/>
      <c r="B42" s="19"/>
      <c r="C42" s="18"/>
      <c r="D42" s="18"/>
      <c r="E42" s="18"/>
      <c r="F42" s="18"/>
      <c r="G42" s="15"/>
      <c r="H42" s="20" t="str">
        <f>IF($C42="","",IF($C42&gt;=Inputs!$B$5,"Verde",IF($C42&gt;=Inputs!$B$5*Inputs!$B$8,"Amarillo","Rojo")))</f>
        <v/>
      </c>
    </row>
    <row r="43" ht="15.75" customHeight="1">
      <c r="A43" s="18"/>
      <c r="B43" s="19"/>
      <c r="C43" s="18"/>
      <c r="D43" s="18"/>
      <c r="E43" s="18"/>
      <c r="F43" s="18"/>
      <c r="G43" s="15"/>
      <c r="H43" s="20" t="str">
        <f>IF($C43="","",IF($C43&gt;=Inputs!$B$5,"Verde",IF($C43&gt;=Inputs!$B$5*Inputs!$B$8,"Amarillo","Rojo")))</f>
        <v/>
      </c>
    </row>
    <row r="44" ht="15.75" customHeight="1">
      <c r="A44" s="18"/>
      <c r="B44" s="19"/>
      <c r="C44" s="18"/>
      <c r="D44" s="18"/>
      <c r="E44" s="18"/>
      <c r="F44" s="18"/>
      <c r="G44" s="15"/>
      <c r="H44" s="20" t="str">
        <f>IF($C44="","",IF($C44&gt;=Inputs!$B$5,"Verde",IF($C44&gt;=Inputs!$B$5*Inputs!$B$8,"Amarillo","Rojo")))</f>
        <v/>
      </c>
    </row>
    <row r="45" ht="15.75" customHeight="1">
      <c r="A45" s="18"/>
      <c r="B45" s="19"/>
      <c r="C45" s="18"/>
      <c r="D45" s="18"/>
      <c r="E45" s="18"/>
      <c r="F45" s="18"/>
      <c r="G45" s="15"/>
      <c r="H45" s="20" t="str">
        <f>IF($C45="","",IF($C45&gt;=Inputs!$B$5,"Verde",IF($C45&gt;=Inputs!$B$5*Inputs!$B$8,"Amarillo","Rojo")))</f>
        <v/>
      </c>
    </row>
    <row r="46" ht="15.75" customHeight="1">
      <c r="A46" s="18"/>
      <c r="B46" s="19"/>
      <c r="C46" s="18"/>
      <c r="D46" s="18"/>
      <c r="E46" s="18"/>
      <c r="F46" s="18"/>
      <c r="G46" s="15"/>
      <c r="H46" s="20" t="str">
        <f>IF($C46="","",IF($C46&gt;=Inputs!$B$5,"Verde",IF($C46&gt;=Inputs!$B$5*Inputs!$B$8,"Amarillo","Rojo")))</f>
        <v/>
      </c>
    </row>
    <row r="47" ht="15.75" customHeight="1">
      <c r="A47" s="18"/>
      <c r="B47" s="19"/>
      <c r="C47" s="18"/>
      <c r="D47" s="18"/>
      <c r="E47" s="18"/>
      <c r="F47" s="18"/>
      <c r="G47" s="15"/>
      <c r="H47" s="20" t="str">
        <f>IF($C47="","",IF($C47&gt;=Inputs!$B$5,"Verde",IF($C47&gt;=Inputs!$B$5*Inputs!$B$8,"Amarillo","Rojo")))</f>
        <v/>
      </c>
    </row>
    <row r="48" ht="15.75" customHeight="1">
      <c r="A48" s="18"/>
      <c r="B48" s="19"/>
      <c r="C48" s="18"/>
      <c r="D48" s="18"/>
      <c r="E48" s="18"/>
      <c r="F48" s="18"/>
      <c r="G48" s="15"/>
      <c r="H48" s="20" t="str">
        <f>IF($C48="","",IF($C48&gt;=Inputs!$B$5,"Verde",IF($C48&gt;=Inputs!$B$5*Inputs!$B$8,"Amarillo","Rojo")))</f>
        <v/>
      </c>
    </row>
    <row r="49" ht="15.75" customHeight="1">
      <c r="A49" s="18"/>
      <c r="B49" s="19"/>
      <c r="C49" s="18"/>
      <c r="D49" s="18"/>
      <c r="E49" s="18"/>
      <c r="F49" s="18"/>
      <c r="G49" s="15"/>
      <c r="H49" s="20" t="str">
        <f>IF($C49="","",IF($C49&gt;=Inputs!$B$5,"Verde",IF($C49&gt;=Inputs!$B$5*Inputs!$B$8,"Amarillo","Rojo")))</f>
        <v/>
      </c>
    </row>
    <row r="50" ht="15.75" customHeight="1">
      <c r="A50" s="18"/>
      <c r="B50" s="19"/>
      <c r="C50" s="18"/>
      <c r="D50" s="18"/>
      <c r="E50" s="18"/>
      <c r="F50" s="18"/>
      <c r="G50" s="15"/>
      <c r="H50" s="20" t="str">
        <f>IF($C50="","",IF($C50&gt;=Inputs!$B$5,"Verde",IF($C50&gt;=Inputs!$B$5*Inputs!$B$8,"Amarillo","Rojo")))</f>
        <v/>
      </c>
    </row>
    <row r="51" ht="15.75" customHeight="1">
      <c r="A51" s="18"/>
      <c r="B51" s="19"/>
      <c r="C51" s="18"/>
      <c r="D51" s="18"/>
      <c r="E51" s="18"/>
      <c r="F51" s="18"/>
      <c r="G51" s="15"/>
      <c r="H51" s="20" t="str">
        <f>IF($C51="","",IF($C51&gt;=Inputs!$B$5,"Verde",IF($C51&gt;=Inputs!$B$5*Inputs!$B$8,"Amarillo","Rojo")))</f>
        <v/>
      </c>
    </row>
    <row r="52" ht="15.75" customHeight="1">
      <c r="A52" s="18"/>
      <c r="B52" s="19"/>
      <c r="C52" s="18"/>
      <c r="D52" s="18"/>
      <c r="E52" s="18"/>
      <c r="F52" s="18"/>
      <c r="G52" s="15"/>
      <c r="H52" s="20" t="str">
        <f>IF($C52="","",IF($C52&gt;=Inputs!$B$5,"Verde",IF($C52&gt;=Inputs!$B$5*Inputs!$B$8,"Amarillo","Rojo")))</f>
        <v/>
      </c>
    </row>
    <row r="53" ht="15.75" customHeight="1">
      <c r="A53" s="18"/>
      <c r="B53" s="19"/>
      <c r="C53" s="18"/>
      <c r="D53" s="18"/>
      <c r="E53" s="18"/>
      <c r="F53" s="18"/>
      <c r="G53" s="15"/>
      <c r="H53" s="20" t="str">
        <f>IF($C53="","",IF($C53&gt;=Inputs!$B$5,"Verde",IF($C53&gt;=Inputs!$B$5*Inputs!$B$8,"Amarillo","Rojo")))</f>
        <v/>
      </c>
    </row>
    <row r="54" ht="15.75" customHeight="1">
      <c r="A54" s="18"/>
      <c r="B54" s="19"/>
      <c r="C54" s="18"/>
      <c r="D54" s="18"/>
      <c r="E54" s="18"/>
      <c r="F54" s="18"/>
      <c r="G54" s="15"/>
      <c r="H54" s="20" t="str">
        <f>IF($C54="","",IF($C54&gt;=Inputs!$B$5,"Verde",IF($C54&gt;=Inputs!$B$5*Inputs!$B$8,"Amarillo","Rojo")))</f>
        <v/>
      </c>
    </row>
    <row r="55" ht="15.75" customHeight="1">
      <c r="A55" s="18"/>
      <c r="B55" s="19"/>
      <c r="C55" s="18"/>
      <c r="D55" s="18"/>
      <c r="E55" s="18"/>
      <c r="F55" s="18"/>
      <c r="G55" s="15"/>
      <c r="H55" s="20" t="str">
        <f>IF($C55="","",IF($C55&gt;=Inputs!$B$5,"Verde",IF($C55&gt;=Inputs!$B$5*Inputs!$B$8,"Amarillo","Rojo")))</f>
        <v/>
      </c>
    </row>
    <row r="56" ht="15.75" customHeight="1">
      <c r="A56" s="18"/>
      <c r="B56" s="19"/>
      <c r="C56" s="18"/>
      <c r="D56" s="18"/>
      <c r="E56" s="18"/>
      <c r="F56" s="18"/>
      <c r="G56" s="15"/>
      <c r="H56" s="20" t="str">
        <f>IF($C56="","",IF($C56&gt;=Inputs!$B$5,"Verde",IF($C56&gt;=Inputs!$B$5*Inputs!$B$8,"Amarillo","Rojo")))</f>
        <v/>
      </c>
    </row>
    <row r="57" ht="15.75" customHeight="1">
      <c r="A57" s="18"/>
      <c r="B57" s="19"/>
      <c r="C57" s="18"/>
      <c r="D57" s="18"/>
      <c r="E57" s="18"/>
      <c r="F57" s="18"/>
      <c r="G57" s="15"/>
      <c r="H57" s="20" t="str">
        <f>IF($C57="","",IF($C57&gt;=Inputs!$B$5,"Verde",IF($C57&gt;=Inputs!$B$5*Inputs!$B$8,"Amarillo","Rojo")))</f>
        <v/>
      </c>
    </row>
    <row r="58" ht="15.75" customHeight="1">
      <c r="A58" s="18"/>
      <c r="B58" s="19"/>
      <c r="C58" s="18"/>
      <c r="D58" s="18"/>
      <c r="E58" s="18"/>
      <c r="F58" s="18"/>
      <c r="G58" s="15"/>
      <c r="H58" s="20" t="str">
        <f>IF($C58="","",IF($C58&gt;=Inputs!$B$5,"Verde",IF($C58&gt;=Inputs!$B$5*Inputs!$B$8,"Amarillo","Rojo")))</f>
        <v/>
      </c>
    </row>
    <row r="59" ht="15.75" customHeight="1">
      <c r="A59" s="18"/>
      <c r="B59" s="19"/>
      <c r="C59" s="18"/>
      <c r="D59" s="18"/>
      <c r="E59" s="18"/>
      <c r="F59" s="18"/>
      <c r="G59" s="15"/>
      <c r="H59" s="20" t="str">
        <f>IF($C59="","",IF($C59&gt;=Inputs!$B$5,"Verde",IF($C59&gt;=Inputs!$B$5*Inputs!$B$8,"Amarillo","Rojo")))</f>
        <v/>
      </c>
    </row>
    <row r="60" ht="15.75" customHeight="1">
      <c r="A60" s="18"/>
      <c r="B60" s="19"/>
      <c r="C60" s="18"/>
      <c r="D60" s="18"/>
      <c r="E60" s="18"/>
      <c r="F60" s="18"/>
      <c r="G60" s="15"/>
      <c r="H60" s="20" t="str">
        <f>IF($C60="","",IF($C60&gt;=Inputs!$B$5,"Verde",IF($C60&gt;=Inputs!$B$5*Inputs!$B$8,"Amarillo","Rojo")))</f>
        <v/>
      </c>
    </row>
    <row r="61" ht="15.75" customHeight="1">
      <c r="A61" s="18"/>
      <c r="B61" s="19"/>
      <c r="C61" s="18"/>
      <c r="D61" s="18"/>
      <c r="E61" s="18"/>
      <c r="F61" s="18"/>
      <c r="G61" s="15"/>
      <c r="H61" s="20" t="str">
        <f>IF($C61="","",IF($C61&gt;=Inputs!$B$5,"Verde",IF($C61&gt;=Inputs!$B$5*Inputs!$B$8,"Amarillo","Rojo")))</f>
        <v/>
      </c>
    </row>
    <row r="62" ht="15.75" customHeight="1">
      <c r="A62" s="18"/>
      <c r="B62" s="19"/>
      <c r="C62" s="18"/>
      <c r="D62" s="18"/>
      <c r="E62" s="18"/>
      <c r="F62" s="18"/>
      <c r="G62" s="15"/>
      <c r="H62" s="20" t="str">
        <f>IF($C62="","",IF($C62&gt;=Inputs!$B$5,"Verde",IF($C62&gt;=Inputs!$B$5*Inputs!$B$8,"Amarillo","Rojo")))</f>
        <v/>
      </c>
    </row>
    <row r="63" ht="15.75" customHeight="1">
      <c r="A63" s="18"/>
      <c r="B63" s="19"/>
      <c r="C63" s="18"/>
      <c r="D63" s="18"/>
      <c r="E63" s="18"/>
      <c r="F63" s="18"/>
      <c r="G63" s="15"/>
      <c r="H63" s="20" t="str">
        <f>IF($C63="","",IF($C63&gt;=Inputs!$B$5,"Verde",IF($C63&gt;=Inputs!$B$5*Inputs!$B$8,"Amarillo","Rojo")))</f>
        <v/>
      </c>
    </row>
    <row r="64" ht="15.75" customHeight="1">
      <c r="A64" s="18"/>
      <c r="B64" s="19"/>
      <c r="C64" s="18"/>
      <c r="D64" s="18"/>
      <c r="E64" s="18"/>
      <c r="F64" s="18"/>
      <c r="G64" s="15"/>
      <c r="H64" s="20" t="str">
        <f>IF($C64="","",IF($C64&gt;=Inputs!$B$5,"Verde",IF($C64&gt;=Inputs!$B$5*Inputs!$B$8,"Amarillo","Rojo")))</f>
        <v/>
      </c>
    </row>
    <row r="65" ht="15.75" customHeight="1">
      <c r="A65" s="18"/>
      <c r="B65" s="19"/>
      <c r="C65" s="18"/>
      <c r="D65" s="18"/>
      <c r="E65" s="18"/>
      <c r="F65" s="18"/>
      <c r="G65" s="15"/>
      <c r="H65" s="20" t="str">
        <f>IF($C65="","",IF($C65&gt;=Inputs!$B$5,"Verde",IF($C65&gt;=Inputs!$B$5*Inputs!$B$8,"Amarillo","Rojo")))</f>
        <v/>
      </c>
    </row>
    <row r="66" ht="15.75" customHeight="1">
      <c r="A66" s="18"/>
      <c r="B66" s="19"/>
      <c r="C66" s="18"/>
      <c r="D66" s="18"/>
      <c r="E66" s="18"/>
      <c r="F66" s="18"/>
      <c r="G66" s="15"/>
      <c r="H66" s="20" t="str">
        <f>IF($C66="","",IF($C66&gt;=Inputs!$B$5,"Verde",IF($C66&gt;=Inputs!$B$5*Inputs!$B$8,"Amarillo","Rojo")))</f>
        <v/>
      </c>
    </row>
    <row r="67" ht="15.75" customHeight="1">
      <c r="A67" s="18"/>
      <c r="B67" s="19"/>
      <c r="C67" s="18"/>
      <c r="D67" s="18"/>
      <c r="E67" s="18"/>
      <c r="F67" s="18"/>
      <c r="G67" s="15"/>
      <c r="H67" s="20" t="str">
        <f>IF($C67="","",IF($C67&gt;=Inputs!$B$5,"Verde",IF($C67&gt;=Inputs!$B$5*Inputs!$B$8,"Amarillo","Rojo")))</f>
        <v/>
      </c>
    </row>
    <row r="68" ht="15.75" customHeight="1">
      <c r="A68" s="18"/>
      <c r="B68" s="19"/>
      <c r="C68" s="18"/>
      <c r="D68" s="18"/>
      <c r="E68" s="18"/>
      <c r="F68" s="18"/>
      <c r="G68" s="15"/>
      <c r="H68" s="20" t="str">
        <f>IF($C68="","",IF($C68&gt;=Inputs!$B$5,"Verde",IF($C68&gt;=Inputs!$B$5*Inputs!$B$8,"Amarillo","Rojo")))</f>
        <v/>
      </c>
    </row>
    <row r="69" ht="15.75" customHeight="1">
      <c r="A69" s="18"/>
      <c r="B69" s="19"/>
      <c r="C69" s="18"/>
      <c r="D69" s="18"/>
      <c r="E69" s="18"/>
      <c r="F69" s="18"/>
      <c r="G69" s="15"/>
      <c r="H69" s="20" t="str">
        <f>IF($C69="","",IF($C69&gt;=Inputs!$B$5,"Verde",IF($C69&gt;=Inputs!$B$5*Inputs!$B$8,"Amarillo","Rojo")))</f>
        <v/>
      </c>
    </row>
    <row r="70" ht="15.75" customHeight="1">
      <c r="A70" s="18"/>
      <c r="B70" s="19"/>
      <c r="C70" s="18"/>
      <c r="D70" s="18"/>
      <c r="E70" s="18"/>
      <c r="F70" s="18"/>
      <c r="G70" s="15"/>
      <c r="H70" s="20" t="str">
        <f>IF($C70="","",IF($C70&gt;=Inputs!$B$5,"Verde",IF($C70&gt;=Inputs!$B$5*Inputs!$B$8,"Amarillo","Rojo")))</f>
        <v/>
      </c>
    </row>
    <row r="71" ht="15.75" customHeight="1">
      <c r="A71" s="18"/>
      <c r="B71" s="19"/>
      <c r="C71" s="18"/>
      <c r="D71" s="18"/>
      <c r="E71" s="18"/>
      <c r="F71" s="18"/>
      <c r="G71" s="15"/>
      <c r="H71" s="20" t="str">
        <f>IF($C71="","",IF($C71&gt;=Inputs!$B$5,"Verde",IF($C71&gt;=Inputs!$B$5*Inputs!$B$8,"Amarillo","Rojo")))</f>
        <v/>
      </c>
    </row>
    <row r="72" ht="15.75" customHeight="1">
      <c r="A72" s="18"/>
      <c r="B72" s="19"/>
      <c r="C72" s="18"/>
      <c r="D72" s="18"/>
      <c r="E72" s="18"/>
      <c r="F72" s="18"/>
      <c r="G72" s="15"/>
      <c r="H72" s="20" t="str">
        <f>IF($C72="","",IF($C72&gt;=Inputs!$B$5,"Verde",IF($C72&gt;=Inputs!$B$5*Inputs!$B$8,"Amarillo","Rojo")))</f>
        <v/>
      </c>
    </row>
    <row r="73" ht="15.75" customHeight="1">
      <c r="A73" s="18"/>
      <c r="B73" s="19"/>
      <c r="C73" s="18"/>
      <c r="D73" s="18"/>
      <c r="E73" s="18"/>
      <c r="F73" s="18"/>
      <c r="G73" s="15"/>
      <c r="H73" s="20" t="str">
        <f>IF($C73="","",IF($C73&gt;=Inputs!$B$5,"Verde",IF($C73&gt;=Inputs!$B$5*Inputs!$B$8,"Amarillo","Rojo")))</f>
        <v/>
      </c>
    </row>
    <row r="74" ht="15.75" customHeight="1">
      <c r="A74" s="18"/>
      <c r="B74" s="19"/>
      <c r="C74" s="18"/>
      <c r="D74" s="18"/>
      <c r="E74" s="18"/>
      <c r="F74" s="18"/>
      <c r="G74" s="15"/>
      <c r="H74" s="20" t="str">
        <f>IF($C74="","",IF($C74&gt;=Inputs!$B$5,"Verde",IF($C74&gt;=Inputs!$B$5*Inputs!$B$8,"Amarillo","Rojo")))</f>
        <v/>
      </c>
    </row>
    <row r="75" ht="15.75" customHeight="1">
      <c r="A75" s="18"/>
      <c r="B75" s="19"/>
      <c r="C75" s="18"/>
      <c r="D75" s="18"/>
      <c r="E75" s="18"/>
      <c r="F75" s="18"/>
      <c r="G75" s="15"/>
      <c r="H75" s="20" t="str">
        <f>IF($C75="","",IF($C75&gt;=Inputs!$B$5,"Verde",IF($C75&gt;=Inputs!$B$5*Inputs!$B$8,"Amarillo","Rojo")))</f>
        <v/>
      </c>
    </row>
    <row r="76" ht="15.75" customHeight="1">
      <c r="A76" s="18"/>
      <c r="B76" s="19"/>
      <c r="C76" s="18"/>
      <c r="D76" s="18"/>
      <c r="E76" s="18"/>
      <c r="F76" s="18"/>
      <c r="G76" s="15"/>
      <c r="H76" s="20" t="str">
        <f>IF($C76="","",IF($C76&gt;=Inputs!$B$5,"Verde",IF($C76&gt;=Inputs!$B$5*Inputs!$B$8,"Amarillo","Rojo")))</f>
        <v/>
      </c>
    </row>
    <row r="77" ht="15.75" customHeight="1">
      <c r="A77" s="18"/>
      <c r="B77" s="19"/>
      <c r="C77" s="18"/>
      <c r="D77" s="18"/>
      <c r="E77" s="18"/>
      <c r="F77" s="18"/>
      <c r="G77" s="15"/>
      <c r="H77" s="20" t="str">
        <f>IF($C77="","",IF($C77&gt;=Inputs!$B$5,"Verde",IF($C77&gt;=Inputs!$B$5*Inputs!$B$8,"Amarillo","Rojo")))</f>
        <v/>
      </c>
    </row>
    <row r="78" ht="15.75" customHeight="1">
      <c r="A78" s="18"/>
      <c r="B78" s="19"/>
      <c r="C78" s="18"/>
      <c r="D78" s="18"/>
      <c r="E78" s="18"/>
      <c r="F78" s="18"/>
      <c r="G78" s="15"/>
      <c r="H78" s="20" t="str">
        <f>IF($C78="","",IF($C78&gt;=Inputs!$B$5,"Verde",IF($C78&gt;=Inputs!$B$5*Inputs!$B$8,"Amarillo","Rojo")))</f>
        <v/>
      </c>
    </row>
    <row r="79" ht="15.75" customHeight="1">
      <c r="A79" s="18"/>
      <c r="B79" s="19"/>
      <c r="C79" s="18"/>
      <c r="D79" s="18"/>
      <c r="E79" s="18"/>
      <c r="F79" s="18"/>
      <c r="G79" s="15"/>
      <c r="H79" s="20" t="str">
        <f>IF($C79="","",IF($C79&gt;=Inputs!$B$5,"Verde",IF($C79&gt;=Inputs!$B$5*Inputs!$B$8,"Amarillo","Rojo")))</f>
        <v/>
      </c>
    </row>
    <row r="80" ht="15.75" customHeight="1">
      <c r="A80" s="18"/>
      <c r="B80" s="19"/>
      <c r="C80" s="18"/>
      <c r="D80" s="18"/>
      <c r="E80" s="18"/>
      <c r="F80" s="18"/>
      <c r="G80" s="15"/>
      <c r="H80" s="20" t="str">
        <f>IF($C80="","",IF($C80&gt;=Inputs!$B$5,"Verde",IF($C80&gt;=Inputs!$B$5*Inputs!$B$8,"Amarillo","Rojo")))</f>
        <v/>
      </c>
    </row>
    <row r="81" ht="15.75" customHeight="1">
      <c r="A81" s="18"/>
      <c r="B81" s="19"/>
      <c r="C81" s="18"/>
      <c r="D81" s="18"/>
      <c r="E81" s="18"/>
      <c r="F81" s="18"/>
      <c r="G81" s="15"/>
      <c r="H81" s="20" t="str">
        <f>IF($C81="","",IF($C81&gt;=Inputs!$B$5,"Verde",IF($C81&gt;=Inputs!$B$5*Inputs!$B$8,"Amarillo","Rojo")))</f>
        <v/>
      </c>
    </row>
    <row r="82" ht="15.75" customHeight="1">
      <c r="A82" s="18"/>
      <c r="B82" s="19"/>
      <c r="C82" s="18"/>
      <c r="D82" s="18"/>
      <c r="E82" s="18"/>
      <c r="F82" s="18"/>
      <c r="G82" s="15"/>
      <c r="H82" s="20" t="str">
        <f>IF($C82="","",IF($C82&gt;=Inputs!$B$5,"Verde",IF($C82&gt;=Inputs!$B$5*Inputs!$B$8,"Amarillo","Rojo")))</f>
        <v/>
      </c>
    </row>
    <row r="83" ht="15.75" customHeight="1">
      <c r="A83" s="18"/>
      <c r="B83" s="19"/>
      <c r="C83" s="18"/>
      <c r="D83" s="18"/>
      <c r="E83" s="18"/>
      <c r="F83" s="18"/>
      <c r="G83" s="15"/>
      <c r="H83" s="20" t="str">
        <f>IF($C83="","",IF($C83&gt;=Inputs!$B$5,"Verde",IF($C83&gt;=Inputs!$B$5*Inputs!$B$8,"Amarillo","Rojo")))</f>
        <v/>
      </c>
    </row>
    <row r="84" ht="15.75" customHeight="1">
      <c r="A84" s="18"/>
      <c r="B84" s="19"/>
      <c r="C84" s="18"/>
      <c r="D84" s="18"/>
      <c r="E84" s="18"/>
      <c r="F84" s="18"/>
      <c r="G84" s="15"/>
      <c r="H84" s="20" t="str">
        <f>IF($C84="","",IF($C84&gt;=Inputs!$B$5,"Verde",IF($C84&gt;=Inputs!$B$5*Inputs!$B$8,"Amarillo","Rojo")))</f>
        <v/>
      </c>
    </row>
    <row r="85" ht="15.75" customHeight="1">
      <c r="A85" s="18"/>
      <c r="B85" s="19"/>
      <c r="C85" s="18"/>
      <c r="D85" s="18"/>
      <c r="E85" s="18"/>
      <c r="F85" s="18"/>
      <c r="G85" s="15"/>
      <c r="H85" s="20" t="str">
        <f>IF($C85="","",IF($C85&gt;=Inputs!$B$5,"Verde",IF($C85&gt;=Inputs!$B$5*Inputs!$B$8,"Amarillo","Rojo")))</f>
        <v/>
      </c>
    </row>
    <row r="86" ht="15.75" customHeight="1">
      <c r="A86" s="18"/>
      <c r="B86" s="19"/>
      <c r="C86" s="18"/>
      <c r="D86" s="18"/>
      <c r="E86" s="18"/>
      <c r="F86" s="18"/>
      <c r="G86" s="15"/>
      <c r="H86" s="20" t="str">
        <f>IF($C86="","",IF($C86&gt;=Inputs!$B$5,"Verde",IF($C86&gt;=Inputs!$B$5*Inputs!$B$8,"Amarillo","Rojo")))</f>
        <v/>
      </c>
    </row>
    <row r="87" ht="15.75" customHeight="1">
      <c r="A87" s="18"/>
      <c r="B87" s="19"/>
      <c r="C87" s="18"/>
      <c r="D87" s="18"/>
      <c r="E87" s="18"/>
      <c r="F87" s="18"/>
      <c r="G87" s="15"/>
      <c r="H87" s="20" t="str">
        <f>IF($C87="","",IF($C87&gt;=Inputs!$B$5,"Verde",IF($C87&gt;=Inputs!$B$5*Inputs!$B$8,"Amarillo","Rojo")))</f>
        <v/>
      </c>
    </row>
    <row r="88" ht="15.75" customHeight="1">
      <c r="A88" s="18"/>
      <c r="B88" s="19"/>
      <c r="C88" s="18"/>
      <c r="D88" s="18"/>
      <c r="E88" s="18"/>
      <c r="F88" s="18"/>
      <c r="G88" s="15"/>
      <c r="H88" s="20" t="str">
        <f>IF($C88="","",IF($C88&gt;=Inputs!$B$5,"Verde",IF($C88&gt;=Inputs!$B$5*Inputs!$B$8,"Amarillo","Rojo")))</f>
        <v/>
      </c>
    </row>
    <row r="89" ht="15.75" customHeight="1">
      <c r="A89" s="18"/>
      <c r="B89" s="19"/>
      <c r="C89" s="18"/>
      <c r="D89" s="18"/>
      <c r="E89" s="18"/>
      <c r="F89" s="18"/>
      <c r="G89" s="15"/>
      <c r="H89" s="20" t="str">
        <f>IF($C89="","",IF($C89&gt;=Inputs!$B$5,"Verde",IF($C89&gt;=Inputs!$B$5*Inputs!$B$8,"Amarillo","Rojo")))</f>
        <v/>
      </c>
    </row>
    <row r="90" ht="15.75" customHeight="1">
      <c r="A90" s="18"/>
      <c r="B90" s="19"/>
      <c r="C90" s="18"/>
      <c r="D90" s="18"/>
      <c r="E90" s="18"/>
      <c r="F90" s="18"/>
      <c r="G90" s="15"/>
      <c r="H90" s="20" t="str">
        <f>IF($C90="","",IF($C90&gt;=Inputs!$B$5,"Verde",IF($C90&gt;=Inputs!$B$5*Inputs!$B$8,"Amarillo","Rojo")))</f>
        <v/>
      </c>
    </row>
    <row r="91" ht="15.75" customHeight="1">
      <c r="A91" s="18"/>
      <c r="B91" s="19"/>
      <c r="C91" s="18"/>
      <c r="D91" s="18"/>
      <c r="E91" s="18"/>
      <c r="F91" s="18"/>
      <c r="G91" s="15"/>
      <c r="H91" s="20" t="str">
        <f>IF($C91="","",IF($C91&gt;=Inputs!$B$5,"Verde",IF($C91&gt;=Inputs!$B$5*Inputs!$B$8,"Amarillo","Rojo")))</f>
        <v/>
      </c>
    </row>
    <row r="92" ht="15.75" customHeight="1">
      <c r="A92" s="18"/>
      <c r="B92" s="19"/>
      <c r="C92" s="18"/>
      <c r="D92" s="18"/>
      <c r="E92" s="18"/>
      <c r="F92" s="18"/>
      <c r="G92" s="15"/>
      <c r="H92" s="20" t="str">
        <f>IF($C92="","",IF($C92&gt;=Inputs!$B$5,"Verde",IF($C92&gt;=Inputs!$B$5*Inputs!$B$8,"Amarillo","Rojo")))</f>
        <v/>
      </c>
    </row>
    <row r="93" ht="15.75" customHeight="1">
      <c r="A93" s="18"/>
      <c r="B93" s="19"/>
      <c r="C93" s="18"/>
      <c r="D93" s="18"/>
      <c r="E93" s="18"/>
      <c r="F93" s="18"/>
      <c r="G93" s="15"/>
      <c r="H93" s="20" t="str">
        <f>IF($C93="","",IF($C93&gt;=Inputs!$B$5,"Verde",IF($C93&gt;=Inputs!$B$5*Inputs!$B$8,"Amarillo","Rojo")))</f>
        <v/>
      </c>
    </row>
    <row r="94" ht="15.75" customHeight="1">
      <c r="A94" s="18"/>
      <c r="B94" s="19"/>
      <c r="C94" s="18"/>
      <c r="D94" s="18"/>
      <c r="E94" s="18"/>
      <c r="F94" s="18"/>
      <c r="G94" s="15"/>
      <c r="H94" s="20" t="str">
        <f>IF($C94="","",IF($C94&gt;=Inputs!$B$5,"Verde",IF($C94&gt;=Inputs!$B$5*Inputs!$B$8,"Amarillo","Rojo")))</f>
        <v/>
      </c>
    </row>
    <row r="95" ht="15.75" customHeight="1">
      <c r="A95" s="18"/>
      <c r="B95" s="19"/>
      <c r="C95" s="18"/>
      <c r="D95" s="18"/>
      <c r="E95" s="18"/>
      <c r="F95" s="18"/>
      <c r="G95" s="15"/>
      <c r="H95" s="20" t="str">
        <f>IF($C95="","",IF($C95&gt;=Inputs!$B$5,"Verde",IF($C95&gt;=Inputs!$B$5*Inputs!$B$8,"Amarillo","Rojo")))</f>
        <v/>
      </c>
    </row>
    <row r="96" ht="15.75" customHeight="1">
      <c r="A96" s="18"/>
      <c r="B96" s="19"/>
      <c r="C96" s="18"/>
      <c r="D96" s="18"/>
      <c r="E96" s="18"/>
      <c r="F96" s="18"/>
      <c r="G96" s="15"/>
      <c r="H96" s="20" t="str">
        <f>IF($C96="","",IF($C96&gt;=Inputs!$B$5,"Verde",IF($C96&gt;=Inputs!$B$5*Inputs!$B$8,"Amarillo","Rojo")))</f>
        <v/>
      </c>
    </row>
    <row r="97" ht="15.75" customHeight="1">
      <c r="A97" s="18"/>
      <c r="B97" s="19"/>
      <c r="C97" s="18"/>
      <c r="D97" s="18"/>
      <c r="E97" s="18"/>
      <c r="F97" s="18"/>
      <c r="G97" s="15"/>
      <c r="H97" s="20" t="str">
        <f>IF($C97="","",IF($C97&gt;=Inputs!$B$5,"Verde",IF($C97&gt;=Inputs!$B$5*Inputs!$B$8,"Amarillo","Rojo")))</f>
        <v/>
      </c>
    </row>
    <row r="98" ht="15.75" customHeight="1">
      <c r="A98" s="18"/>
      <c r="B98" s="19"/>
      <c r="C98" s="18"/>
      <c r="D98" s="18"/>
      <c r="E98" s="18"/>
      <c r="F98" s="18"/>
      <c r="G98" s="15"/>
      <c r="H98" s="20" t="str">
        <f>IF($C98="","",IF($C98&gt;=Inputs!$B$5,"Verde",IF($C98&gt;=Inputs!$B$5*Inputs!$B$8,"Amarillo","Rojo")))</f>
        <v/>
      </c>
    </row>
    <row r="99" ht="15.75" customHeight="1">
      <c r="A99" s="18"/>
      <c r="B99" s="19"/>
      <c r="C99" s="18"/>
      <c r="D99" s="18"/>
      <c r="E99" s="18"/>
      <c r="F99" s="18"/>
      <c r="G99" s="15"/>
      <c r="H99" s="20" t="str">
        <f>IF($C99="","",IF($C99&gt;=Inputs!$B$5,"Verde",IF($C99&gt;=Inputs!$B$5*Inputs!$B$8,"Amarillo","Rojo")))</f>
        <v/>
      </c>
    </row>
    <row r="100" ht="15.75" customHeight="1">
      <c r="A100" s="18"/>
      <c r="B100" s="19"/>
      <c r="C100" s="18"/>
      <c r="D100" s="18"/>
      <c r="E100" s="18"/>
      <c r="F100" s="18"/>
      <c r="G100" s="15"/>
      <c r="H100" s="20" t="str">
        <f>IF($C100="","",IF($C100&gt;=Inputs!$B$5,"Verde",IF($C100&gt;=Inputs!$B$5*Inputs!$B$8,"Amarillo","Rojo")))</f>
        <v/>
      </c>
    </row>
    <row r="101" ht="15.75" customHeight="1">
      <c r="A101" s="18"/>
      <c r="B101" s="19"/>
      <c r="C101" s="18"/>
      <c r="D101" s="18"/>
      <c r="E101" s="18"/>
      <c r="F101" s="18"/>
      <c r="G101" s="15"/>
      <c r="H101" s="20" t="str">
        <f>IF($C101="","",IF($C101&gt;=Inputs!$B$5,"Verde",IF($C101&gt;=Inputs!$B$5*Inputs!$B$8,"Amarillo","Rojo")))</f>
        <v/>
      </c>
    </row>
    <row r="102" ht="15.75" customHeight="1">
      <c r="A102" s="18"/>
      <c r="B102" s="19"/>
      <c r="C102" s="18"/>
      <c r="D102" s="18"/>
      <c r="E102" s="18"/>
      <c r="F102" s="18"/>
      <c r="G102" s="15"/>
      <c r="H102" s="20" t="str">
        <f>IF($C102="","",IF($C102&gt;=Inputs!$B$5,"Verde",IF($C102&gt;=Inputs!$B$5*Inputs!$B$8,"Amarillo","Rojo")))</f>
        <v/>
      </c>
    </row>
    <row r="103" ht="15.75" customHeight="1">
      <c r="A103" s="18"/>
      <c r="B103" s="19"/>
      <c r="C103" s="18"/>
      <c r="D103" s="18"/>
      <c r="E103" s="18"/>
      <c r="F103" s="18"/>
      <c r="G103" s="15"/>
      <c r="H103" s="20" t="str">
        <f>IF($C103="","",IF($C103&gt;=Inputs!$B$5,"Verde",IF($C103&gt;=Inputs!$B$5*Inputs!$B$8,"Amarillo","Rojo")))</f>
        <v/>
      </c>
    </row>
    <row r="104" ht="15.75" customHeight="1">
      <c r="A104" s="18"/>
      <c r="B104" s="19"/>
      <c r="C104" s="18"/>
      <c r="D104" s="18"/>
      <c r="E104" s="18"/>
      <c r="F104" s="18"/>
      <c r="G104" s="15"/>
      <c r="H104" s="20" t="str">
        <f>IF($C104="","",IF($C104&gt;=Inputs!$B$5,"Verde",IF($C104&gt;=Inputs!$B$5*Inputs!$B$8,"Amarillo","Rojo")))</f>
        <v/>
      </c>
    </row>
    <row r="105" ht="15.75" customHeight="1">
      <c r="A105" s="18"/>
      <c r="B105" s="19"/>
      <c r="C105" s="18"/>
      <c r="D105" s="18"/>
      <c r="E105" s="18"/>
      <c r="F105" s="18"/>
      <c r="G105" s="15"/>
      <c r="H105" s="20" t="str">
        <f>IF($C105="","",IF($C105&gt;=Inputs!$B$5,"Verde",IF($C105&gt;=Inputs!$B$5*Inputs!$B$8,"Amarillo","Rojo")))</f>
        <v/>
      </c>
    </row>
    <row r="106" ht="15.75" customHeight="1">
      <c r="A106" s="18"/>
      <c r="B106" s="19"/>
      <c r="C106" s="18"/>
      <c r="D106" s="18"/>
      <c r="E106" s="18"/>
      <c r="F106" s="18"/>
      <c r="G106" s="15"/>
      <c r="H106" s="20" t="str">
        <f>IF($C106="","",IF($C106&gt;=Inputs!$B$5,"Verde",IF($C106&gt;=Inputs!$B$5*Inputs!$B$8,"Amarillo","Rojo")))</f>
        <v/>
      </c>
    </row>
    <row r="107" ht="15.75" customHeight="1">
      <c r="A107" s="18"/>
      <c r="B107" s="19"/>
      <c r="C107" s="18"/>
      <c r="D107" s="18"/>
      <c r="E107" s="18"/>
      <c r="F107" s="18"/>
      <c r="G107" s="15"/>
      <c r="H107" s="20" t="str">
        <f>IF($C107="","",IF($C107&gt;=Inputs!$B$5,"Verde",IF($C107&gt;=Inputs!$B$5*Inputs!$B$8,"Amarillo","Rojo")))</f>
        <v/>
      </c>
    </row>
    <row r="108" ht="15.75" customHeight="1">
      <c r="A108" s="18"/>
      <c r="B108" s="19"/>
      <c r="C108" s="18"/>
      <c r="D108" s="18"/>
      <c r="E108" s="18"/>
      <c r="F108" s="18"/>
      <c r="G108" s="15"/>
      <c r="H108" s="20" t="str">
        <f>IF($C108="","",IF($C108&gt;=Inputs!$B$5,"Verde",IF($C108&gt;=Inputs!$B$5*Inputs!$B$8,"Amarillo","Rojo")))</f>
        <v/>
      </c>
    </row>
    <row r="109" ht="15.75" customHeight="1">
      <c r="A109" s="18"/>
      <c r="B109" s="19"/>
      <c r="C109" s="18"/>
      <c r="D109" s="18"/>
      <c r="E109" s="18"/>
      <c r="F109" s="18"/>
      <c r="G109" s="15"/>
      <c r="H109" s="20" t="str">
        <f>IF($C109="","",IF($C109&gt;=Inputs!$B$5,"Verde",IF($C109&gt;=Inputs!$B$5*Inputs!$B$8,"Amarillo","Rojo")))</f>
        <v/>
      </c>
    </row>
    <row r="110" ht="15.75" customHeight="1">
      <c r="A110" s="18"/>
      <c r="B110" s="19"/>
      <c r="C110" s="18"/>
      <c r="D110" s="18"/>
      <c r="E110" s="18"/>
      <c r="F110" s="18"/>
      <c r="G110" s="15"/>
      <c r="H110" s="20" t="str">
        <f>IF($C110="","",IF($C110&gt;=Inputs!$B$5,"Verde",IF($C110&gt;=Inputs!$B$5*Inputs!$B$8,"Amarillo","Rojo")))</f>
        <v/>
      </c>
    </row>
    <row r="111" ht="15.75" customHeight="1">
      <c r="A111" s="18"/>
      <c r="B111" s="19"/>
      <c r="C111" s="18"/>
      <c r="D111" s="18"/>
      <c r="E111" s="18"/>
      <c r="F111" s="18"/>
      <c r="G111" s="15"/>
      <c r="H111" s="20" t="str">
        <f>IF($C111="","",IF($C111&gt;=Inputs!$B$5,"Verde",IF($C111&gt;=Inputs!$B$5*Inputs!$B$8,"Amarillo","Rojo")))</f>
        <v/>
      </c>
    </row>
    <row r="112" ht="15.75" customHeight="1">
      <c r="A112" s="18"/>
      <c r="B112" s="19"/>
      <c r="C112" s="18"/>
      <c r="D112" s="18"/>
      <c r="E112" s="18"/>
      <c r="F112" s="18"/>
      <c r="G112" s="15"/>
      <c r="H112" s="20" t="str">
        <f>IF($C112="","",IF($C112&gt;=Inputs!$B$5,"Verde",IF($C112&gt;=Inputs!$B$5*Inputs!$B$8,"Amarillo","Rojo")))</f>
        <v/>
      </c>
    </row>
    <row r="113" ht="15.75" customHeight="1">
      <c r="A113" s="18"/>
      <c r="B113" s="19"/>
      <c r="C113" s="18"/>
      <c r="D113" s="18"/>
      <c r="E113" s="18"/>
      <c r="F113" s="18"/>
      <c r="G113" s="15"/>
      <c r="H113" s="20" t="str">
        <f>IF($C113="","",IF($C113&gt;=Inputs!$B$5,"Verde",IF($C113&gt;=Inputs!$B$5*Inputs!$B$8,"Amarillo","Rojo")))</f>
        <v/>
      </c>
    </row>
    <row r="114" ht="15.75" customHeight="1">
      <c r="A114" s="18"/>
      <c r="B114" s="19"/>
      <c r="C114" s="18"/>
      <c r="D114" s="18"/>
      <c r="E114" s="18"/>
      <c r="F114" s="18"/>
      <c r="G114" s="15"/>
      <c r="H114" s="20" t="str">
        <f>IF($C114="","",IF($C114&gt;=Inputs!$B$5,"Verde",IF($C114&gt;=Inputs!$B$5*Inputs!$B$8,"Amarillo","Rojo")))</f>
        <v/>
      </c>
    </row>
    <row r="115" ht="15.75" customHeight="1">
      <c r="A115" s="18"/>
      <c r="B115" s="19"/>
      <c r="C115" s="18"/>
      <c r="D115" s="18"/>
      <c r="E115" s="18"/>
      <c r="F115" s="18"/>
      <c r="G115" s="15"/>
      <c r="H115" s="20" t="str">
        <f>IF($C115="","",IF($C115&gt;=Inputs!$B$5,"Verde",IF($C115&gt;=Inputs!$B$5*Inputs!$B$8,"Amarillo","Rojo")))</f>
        <v/>
      </c>
    </row>
    <row r="116" ht="15.75" customHeight="1">
      <c r="A116" s="18"/>
      <c r="B116" s="19"/>
      <c r="C116" s="18"/>
      <c r="D116" s="18"/>
      <c r="E116" s="18"/>
      <c r="F116" s="18"/>
      <c r="G116" s="15"/>
      <c r="H116" s="20" t="str">
        <f>IF($C116="","",IF($C116&gt;=Inputs!$B$5,"Verde",IF($C116&gt;=Inputs!$B$5*Inputs!$B$8,"Amarillo","Rojo")))</f>
        <v/>
      </c>
    </row>
    <row r="117" ht="15.75" customHeight="1">
      <c r="A117" s="18"/>
      <c r="B117" s="19"/>
      <c r="C117" s="18"/>
      <c r="D117" s="18"/>
      <c r="E117" s="18"/>
      <c r="F117" s="18"/>
      <c r="G117" s="15"/>
      <c r="H117" s="20" t="str">
        <f>IF($C117="","",IF($C117&gt;=Inputs!$B$5,"Verde",IF($C117&gt;=Inputs!$B$5*Inputs!$B$8,"Amarillo","Rojo")))</f>
        <v/>
      </c>
    </row>
    <row r="118" ht="15.75" customHeight="1">
      <c r="A118" s="18"/>
      <c r="B118" s="19"/>
      <c r="C118" s="18"/>
      <c r="D118" s="18"/>
      <c r="E118" s="18"/>
      <c r="F118" s="18"/>
      <c r="G118" s="15"/>
      <c r="H118" s="20" t="str">
        <f>IF($C118="","",IF($C118&gt;=Inputs!$B$5,"Verde",IF($C118&gt;=Inputs!$B$5*Inputs!$B$8,"Amarillo","Rojo")))</f>
        <v/>
      </c>
    </row>
    <row r="119" ht="15.75" customHeight="1">
      <c r="A119" s="18"/>
      <c r="B119" s="19"/>
      <c r="C119" s="18"/>
      <c r="D119" s="18"/>
      <c r="E119" s="18"/>
      <c r="F119" s="18"/>
      <c r="G119" s="15"/>
      <c r="H119" s="20" t="str">
        <f>IF($C119="","",IF($C119&gt;=Inputs!$B$5,"Verde",IF($C119&gt;=Inputs!$B$5*Inputs!$B$8,"Amarillo","Rojo")))</f>
        <v/>
      </c>
    </row>
    <row r="120" ht="15.75" customHeight="1">
      <c r="A120" s="18"/>
      <c r="B120" s="19"/>
      <c r="C120" s="18"/>
      <c r="D120" s="18"/>
      <c r="E120" s="18"/>
      <c r="F120" s="18"/>
      <c r="G120" s="15"/>
      <c r="H120" s="20" t="str">
        <f>IF($C120="","",IF($C120&gt;=Inputs!$B$5,"Verde",IF($C120&gt;=Inputs!$B$5*Inputs!$B$8,"Amarillo","Rojo")))</f>
        <v/>
      </c>
    </row>
    <row r="121" ht="15.75" customHeight="1">
      <c r="A121" s="18"/>
      <c r="B121" s="19"/>
      <c r="C121" s="18"/>
      <c r="D121" s="18"/>
      <c r="E121" s="18"/>
      <c r="F121" s="18"/>
      <c r="G121" s="15"/>
      <c r="H121" s="20" t="str">
        <f>IF($C121="","",IF($C121&gt;=Inputs!$B$5,"Verde",IF($C121&gt;=Inputs!$B$5*Inputs!$B$8,"Amarillo","Rojo")))</f>
        <v/>
      </c>
    </row>
    <row r="122" ht="15.75" customHeight="1">
      <c r="A122" s="18"/>
      <c r="B122" s="19"/>
      <c r="C122" s="18"/>
      <c r="D122" s="18"/>
      <c r="E122" s="18"/>
      <c r="F122" s="18"/>
      <c r="G122" s="15"/>
      <c r="H122" s="20" t="str">
        <f>IF($C122="","",IF($C122&gt;=Inputs!$B$5,"Verde",IF($C122&gt;=Inputs!$B$5*Inputs!$B$8,"Amarillo","Rojo")))</f>
        <v/>
      </c>
    </row>
    <row r="123" ht="15.75" customHeight="1">
      <c r="A123" s="18"/>
      <c r="B123" s="19"/>
      <c r="C123" s="18"/>
      <c r="D123" s="18"/>
      <c r="E123" s="18"/>
      <c r="F123" s="18"/>
      <c r="G123" s="15"/>
      <c r="H123" s="20" t="str">
        <f>IF($C123="","",IF($C123&gt;=Inputs!$B$5,"Verde",IF($C123&gt;=Inputs!$B$5*Inputs!$B$8,"Amarillo","Rojo")))</f>
        <v/>
      </c>
    </row>
    <row r="124" ht="15.75" customHeight="1">
      <c r="A124" s="18"/>
      <c r="B124" s="19"/>
      <c r="C124" s="18"/>
      <c r="D124" s="18"/>
      <c r="E124" s="18"/>
      <c r="F124" s="18"/>
      <c r="G124" s="15"/>
      <c r="H124" s="20" t="str">
        <f>IF($C124="","",IF($C124&gt;=Inputs!$B$5,"Verde",IF($C124&gt;=Inputs!$B$5*Inputs!$B$8,"Amarillo","Rojo")))</f>
        <v/>
      </c>
    </row>
    <row r="125" ht="15.75" customHeight="1">
      <c r="A125" s="18"/>
      <c r="B125" s="19"/>
      <c r="C125" s="18"/>
      <c r="D125" s="18"/>
      <c r="E125" s="18"/>
      <c r="F125" s="18"/>
      <c r="G125" s="15"/>
      <c r="H125" s="20" t="str">
        <f>IF($C125="","",IF($C125&gt;=Inputs!$B$5,"Verde",IF($C125&gt;=Inputs!$B$5*Inputs!$B$8,"Amarillo","Rojo")))</f>
        <v/>
      </c>
    </row>
    <row r="126" ht="15.75" customHeight="1">
      <c r="A126" s="18"/>
      <c r="B126" s="19"/>
      <c r="C126" s="18"/>
      <c r="D126" s="18"/>
      <c r="E126" s="18"/>
      <c r="F126" s="18"/>
      <c r="G126" s="15"/>
      <c r="H126" s="20" t="str">
        <f>IF($C126="","",IF($C126&gt;=Inputs!$B$5,"Verde",IF($C126&gt;=Inputs!$B$5*Inputs!$B$8,"Amarillo","Rojo")))</f>
        <v/>
      </c>
    </row>
    <row r="127" ht="15.75" customHeight="1">
      <c r="A127" s="18"/>
      <c r="B127" s="19"/>
      <c r="C127" s="18"/>
      <c r="D127" s="18"/>
      <c r="E127" s="18"/>
      <c r="F127" s="18"/>
      <c r="G127" s="15"/>
      <c r="H127" s="20" t="str">
        <f>IF($C127="","",IF($C127&gt;=Inputs!$B$5,"Verde",IF($C127&gt;=Inputs!$B$5*Inputs!$B$8,"Amarillo","Rojo")))</f>
        <v/>
      </c>
    </row>
    <row r="128" ht="15.75" customHeight="1">
      <c r="A128" s="18"/>
      <c r="B128" s="19"/>
      <c r="C128" s="18"/>
      <c r="D128" s="18"/>
      <c r="E128" s="18"/>
      <c r="F128" s="18"/>
      <c r="G128" s="15"/>
      <c r="H128" s="20" t="str">
        <f>IF($C128="","",IF($C128&gt;=Inputs!$B$5,"Verde",IF($C128&gt;=Inputs!$B$5*Inputs!$B$8,"Amarillo","Rojo")))</f>
        <v/>
      </c>
    </row>
    <row r="129" ht="15.75" customHeight="1">
      <c r="A129" s="18"/>
      <c r="B129" s="19"/>
      <c r="C129" s="18"/>
      <c r="D129" s="18"/>
      <c r="E129" s="18"/>
      <c r="F129" s="18"/>
      <c r="G129" s="15"/>
      <c r="H129" s="20" t="str">
        <f>IF($C129="","",IF($C129&gt;=Inputs!$B$5,"Verde",IF($C129&gt;=Inputs!$B$5*Inputs!$B$8,"Amarillo","Rojo")))</f>
        <v/>
      </c>
    </row>
    <row r="130" ht="15.75" customHeight="1">
      <c r="A130" s="18"/>
      <c r="B130" s="19"/>
      <c r="C130" s="18"/>
      <c r="D130" s="18"/>
      <c r="E130" s="18"/>
      <c r="F130" s="18"/>
      <c r="G130" s="15"/>
      <c r="H130" s="20" t="str">
        <f>IF($C130="","",IF($C130&gt;=Inputs!$B$5,"Verde",IF($C130&gt;=Inputs!$B$5*Inputs!$B$8,"Amarillo","Rojo")))</f>
        <v/>
      </c>
    </row>
    <row r="131" ht="15.75" customHeight="1">
      <c r="A131" s="18"/>
      <c r="B131" s="19"/>
      <c r="C131" s="18"/>
      <c r="D131" s="18"/>
      <c r="E131" s="18"/>
      <c r="F131" s="18"/>
      <c r="G131" s="15"/>
      <c r="H131" s="20" t="str">
        <f>IF($C131="","",IF($C131&gt;=Inputs!$B$5,"Verde",IF($C131&gt;=Inputs!$B$5*Inputs!$B$8,"Amarillo","Rojo")))</f>
        <v/>
      </c>
    </row>
    <row r="132" ht="15.75" customHeight="1">
      <c r="A132" s="18"/>
      <c r="B132" s="19"/>
      <c r="C132" s="18"/>
      <c r="D132" s="18"/>
      <c r="E132" s="18"/>
      <c r="F132" s="18"/>
      <c r="G132" s="15"/>
      <c r="H132" s="20" t="str">
        <f>IF($C132="","",IF($C132&gt;=Inputs!$B$5,"Verde",IF($C132&gt;=Inputs!$B$5*Inputs!$B$8,"Amarillo","Rojo")))</f>
        <v/>
      </c>
    </row>
    <row r="133" ht="15.75" customHeight="1">
      <c r="A133" s="18"/>
      <c r="B133" s="19"/>
      <c r="C133" s="18"/>
      <c r="D133" s="18"/>
      <c r="E133" s="18"/>
      <c r="F133" s="18"/>
      <c r="G133" s="15"/>
      <c r="H133" s="20" t="str">
        <f>IF($C133="","",IF($C133&gt;=Inputs!$B$5,"Verde",IF($C133&gt;=Inputs!$B$5*Inputs!$B$8,"Amarillo","Rojo")))</f>
        <v/>
      </c>
    </row>
    <row r="134" ht="15.75" customHeight="1">
      <c r="A134" s="18"/>
      <c r="B134" s="19"/>
      <c r="C134" s="18"/>
      <c r="D134" s="18"/>
      <c r="E134" s="18"/>
      <c r="F134" s="18"/>
      <c r="G134" s="15"/>
      <c r="H134" s="20" t="str">
        <f>IF($C134="","",IF($C134&gt;=Inputs!$B$5,"Verde",IF($C134&gt;=Inputs!$B$5*Inputs!$B$8,"Amarillo","Rojo")))</f>
        <v/>
      </c>
    </row>
    <row r="135" ht="15.75" customHeight="1">
      <c r="A135" s="18"/>
      <c r="B135" s="19"/>
      <c r="C135" s="18"/>
      <c r="D135" s="18"/>
      <c r="E135" s="18"/>
      <c r="F135" s="18"/>
      <c r="G135" s="15"/>
      <c r="H135" s="20" t="str">
        <f>IF($C135="","",IF($C135&gt;=Inputs!$B$5,"Verde",IF($C135&gt;=Inputs!$B$5*Inputs!$B$8,"Amarillo","Rojo")))</f>
        <v/>
      </c>
    </row>
    <row r="136" ht="15.75" customHeight="1">
      <c r="A136" s="18"/>
      <c r="B136" s="19"/>
      <c r="C136" s="18"/>
      <c r="D136" s="18"/>
      <c r="E136" s="18"/>
      <c r="F136" s="18"/>
      <c r="G136" s="15"/>
      <c r="H136" s="20" t="str">
        <f>IF($C136="","",IF($C136&gt;=Inputs!$B$5,"Verde",IF($C136&gt;=Inputs!$B$5*Inputs!$B$8,"Amarillo","Rojo")))</f>
        <v/>
      </c>
    </row>
    <row r="137" ht="15.75" customHeight="1">
      <c r="A137" s="18"/>
      <c r="B137" s="19"/>
      <c r="C137" s="18"/>
      <c r="D137" s="18"/>
      <c r="E137" s="18"/>
      <c r="F137" s="18"/>
      <c r="G137" s="15"/>
      <c r="H137" s="20" t="str">
        <f>IF($C137="","",IF($C137&gt;=Inputs!$B$5,"Verde",IF($C137&gt;=Inputs!$B$5*Inputs!$B$8,"Amarillo","Rojo")))</f>
        <v/>
      </c>
    </row>
    <row r="138" ht="15.75" customHeight="1">
      <c r="A138" s="18"/>
      <c r="B138" s="19"/>
      <c r="C138" s="18"/>
      <c r="D138" s="18"/>
      <c r="E138" s="18"/>
      <c r="F138" s="18"/>
      <c r="G138" s="15"/>
      <c r="H138" s="20" t="str">
        <f>IF($C138="","",IF($C138&gt;=Inputs!$B$5,"Verde",IF($C138&gt;=Inputs!$B$5*Inputs!$B$8,"Amarillo","Rojo")))</f>
        <v/>
      </c>
    </row>
    <row r="139" ht="15.75" customHeight="1">
      <c r="A139" s="18"/>
      <c r="B139" s="19"/>
      <c r="C139" s="18"/>
      <c r="D139" s="18"/>
      <c r="E139" s="18"/>
      <c r="F139" s="18"/>
      <c r="G139" s="15"/>
      <c r="H139" s="20" t="str">
        <f>IF($C139="","",IF($C139&gt;=Inputs!$B$5,"Verde",IF($C139&gt;=Inputs!$B$5*Inputs!$B$8,"Amarillo","Rojo")))</f>
        <v/>
      </c>
    </row>
    <row r="140" ht="15.75" customHeight="1">
      <c r="A140" s="18"/>
      <c r="B140" s="19"/>
      <c r="C140" s="18"/>
      <c r="D140" s="18"/>
      <c r="E140" s="18"/>
      <c r="F140" s="18"/>
      <c r="G140" s="15"/>
      <c r="H140" s="20" t="str">
        <f>IF($C140="","",IF($C140&gt;=Inputs!$B$5,"Verde",IF($C140&gt;=Inputs!$B$5*Inputs!$B$8,"Amarillo","Rojo")))</f>
        <v/>
      </c>
    </row>
    <row r="141" ht="15.75" customHeight="1">
      <c r="A141" s="18"/>
      <c r="B141" s="19"/>
      <c r="C141" s="18"/>
      <c r="D141" s="18"/>
      <c r="E141" s="18"/>
      <c r="F141" s="18"/>
      <c r="G141" s="15"/>
      <c r="H141" s="20" t="str">
        <f>IF($C141="","",IF($C141&gt;=Inputs!$B$5,"Verde",IF($C141&gt;=Inputs!$B$5*Inputs!$B$8,"Amarillo","Rojo")))</f>
        <v/>
      </c>
    </row>
    <row r="142" ht="15.75" customHeight="1">
      <c r="A142" s="18"/>
      <c r="B142" s="19"/>
      <c r="C142" s="18"/>
      <c r="D142" s="18"/>
      <c r="E142" s="18"/>
      <c r="F142" s="18"/>
      <c r="G142" s="15"/>
      <c r="H142" s="20" t="str">
        <f>IF($C142="","",IF($C142&gt;=Inputs!$B$5,"Verde",IF($C142&gt;=Inputs!$B$5*Inputs!$B$8,"Amarillo","Rojo")))</f>
        <v/>
      </c>
    </row>
    <row r="143" ht="15.75" customHeight="1">
      <c r="A143" s="18"/>
      <c r="B143" s="19"/>
      <c r="C143" s="18"/>
      <c r="D143" s="18"/>
      <c r="E143" s="18"/>
      <c r="F143" s="18"/>
      <c r="G143" s="15"/>
      <c r="H143" s="20" t="str">
        <f>IF($C143="","",IF($C143&gt;=Inputs!$B$5,"Verde",IF($C143&gt;=Inputs!$B$5*Inputs!$B$8,"Amarillo","Rojo")))</f>
        <v/>
      </c>
    </row>
    <row r="144" ht="15.75" customHeight="1">
      <c r="A144" s="18"/>
      <c r="B144" s="19"/>
      <c r="C144" s="18"/>
      <c r="D144" s="18"/>
      <c r="E144" s="18"/>
      <c r="F144" s="18"/>
      <c r="G144" s="15"/>
      <c r="H144" s="20" t="str">
        <f>IF($C144="","",IF($C144&gt;=Inputs!$B$5,"Verde",IF($C144&gt;=Inputs!$B$5*Inputs!$B$8,"Amarillo","Rojo")))</f>
        <v/>
      </c>
    </row>
    <row r="145" ht="15.75" customHeight="1">
      <c r="A145" s="18"/>
      <c r="B145" s="19"/>
      <c r="C145" s="18"/>
      <c r="D145" s="18"/>
      <c r="E145" s="18"/>
      <c r="F145" s="18"/>
      <c r="G145" s="15"/>
      <c r="H145" s="20" t="str">
        <f>IF($C145="","",IF($C145&gt;=Inputs!$B$5,"Verde",IF($C145&gt;=Inputs!$B$5*Inputs!$B$8,"Amarillo","Rojo")))</f>
        <v/>
      </c>
    </row>
    <row r="146" ht="15.75" customHeight="1">
      <c r="A146" s="18"/>
      <c r="B146" s="19"/>
      <c r="C146" s="18"/>
      <c r="D146" s="18"/>
      <c r="E146" s="18"/>
      <c r="F146" s="18"/>
      <c r="G146" s="15"/>
      <c r="H146" s="20" t="str">
        <f>IF($C146="","",IF($C146&gt;=Inputs!$B$5,"Verde",IF($C146&gt;=Inputs!$B$5*Inputs!$B$8,"Amarillo","Rojo")))</f>
        <v/>
      </c>
    </row>
    <row r="147" ht="15.75" customHeight="1">
      <c r="A147" s="18"/>
      <c r="B147" s="19"/>
      <c r="C147" s="18"/>
      <c r="D147" s="18"/>
      <c r="E147" s="18"/>
      <c r="F147" s="18"/>
      <c r="G147" s="15"/>
      <c r="H147" s="20" t="str">
        <f>IF($C147="","",IF($C147&gt;=Inputs!$B$5,"Verde",IF($C147&gt;=Inputs!$B$5*Inputs!$B$8,"Amarillo","Rojo")))</f>
        <v/>
      </c>
    </row>
    <row r="148" ht="15.75" customHeight="1">
      <c r="A148" s="18"/>
      <c r="B148" s="19"/>
      <c r="C148" s="18"/>
      <c r="D148" s="18"/>
      <c r="E148" s="18"/>
      <c r="F148" s="18"/>
      <c r="G148" s="15"/>
      <c r="H148" s="20" t="str">
        <f>IF($C148="","",IF($C148&gt;=Inputs!$B$5,"Verde",IF($C148&gt;=Inputs!$B$5*Inputs!$B$8,"Amarillo","Rojo")))</f>
        <v/>
      </c>
    </row>
    <row r="149" ht="15.75" customHeight="1">
      <c r="A149" s="18"/>
      <c r="B149" s="19"/>
      <c r="C149" s="18"/>
      <c r="D149" s="18"/>
      <c r="E149" s="18"/>
      <c r="F149" s="18"/>
      <c r="G149" s="15"/>
      <c r="H149" s="20" t="str">
        <f>IF($C149="","",IF($C149&gt;=Inputs!$B$5,"Verde",IF($C149&gt;=Inputs!$B$5*Inputs!$B$8,"Amarillo","Rojo")))</f>
        <v/>
      </c>
    </row>
    <row r="150" ht="15.75" customHeight="1">
      <c r="A150" s="18"/>
      <c r="B150" s="19"/>
      <c r="C150" s="18"/>
      <c r="D150" s="18"/>
      <c r="E150" s="18"/>
      <c r="F150" s="18"/>
      <c r="G150" s="15"/>
      <c r="H150" s="20" t="str">
        <f>IF($C150="","",IF($C150&gt;=Inputs!$B$5,"Verde",IF($C150&gt;=Inputs!$B$5*Inputs!$B$8,"Amarillo","Rojo")))</f>
        <v/>
      </c>
    </row>
    <row r="151" ht="15.75" customHeight="1">
      <c r="A151" s="18"/>
      <c r="B151" s="19"/>
      <c r="C151" s="18"/>
      <c r="D151" s="18"/>
      <c r="E151" s="18"/>
      <c r="F151" s="18"/>
      <c r="G151" s="15"/>
      <c r="H151" s="20" t="str">
        <f>IF($C151="","",IF($C151&gt;=Inputs!$B$5,"Verde",IF($C151&gt;=Inputs!$B$5*Inputs!$B$8,"Amarillo","Rojo")))</f>
        <v/>
      </c>
    </row>
    <row r="152" ht="15.75" customHeight="1">
      <c r="A152" s="18"/>
      <c r="B152" s="19"/>
      <c r="C152" s="18"/>
      <c r="D152" s="18"/>
      <c r="E152" s="18"/>
      <c r="F152" s="18"/>
      <c r="G152" s="15"/>
      <c r="H152" s="20" t="str">
        <f>IF($C152="","",IF($C152&gt;=Inputs!$B$5,"Verde",IF($C152&gt;=Inputs!$B$5*Inputs!$B$8,"Amarillo","Rojo")))</f>
        <v/>
      </c>
    </row>
    <row r="153" ht="15.75" customHeight="1">
      <c r="A153" s="18"/>
      <c r="B153" s="19"/>
      <c r="C153" s="18"/>
      <c r="D153" s="18"/>
      <c r="E153" s="18"/>
      <c r="F153" s="18"/>
      <c r="G153" s="15"/>
      <c r="H153" s="20" t="str">
        <f>IF($C153="","",IF($C153&gt;=Inputs!$B$5,"Verde",IF($C153&gt;=Inputs!$B$5*Inputs!$B$8,"Amarillo","Rojo")))</f>
        <v/>
      </c>
    </row>
    <row r="154" ht="15.75" customHeight="1">
      <c r="A154" s="18"/>
      <c r="B154" s="19"/>
      <c r="C154" s="18"/>
      <c r="D154" s="18"/>
      <c r="E154" s="18"/>
      <c r="F154" s="18"/>
      <c r="G154" s="15"/>
      <c r="H154" s="20" t="str">
        <f>IF($C154="","",IF($C154&gt;=Inputs!$B$5,"Verde",IF($C154&gt;=Inputs!$B$5*Inputs!$B$8,"Amarillo","Rojo")))</f>
        <v/>
      </c>
    </row>
    <row r="155" ht="15.75" customHeight="1">
      <c r="A155" s="18"/>
      <c r="B155" s="19"/>
      <c r="C155" s="18"/>
      <c r="D155" s="18"/>
      <c r="E155" s="18"/>
      <c r="F155" s="18"/>
      <c r="G155" s="15"/>
      <c r="H155" s="20" t="str">
        <f>IF($C155="","",IF($C155&gt;=Inputs!$B$5,"Verde",IF($C155&gt;=Inputs!$B$5*Inputs!$B$8,"Amarillo","Rojo")))</f>
        <v/>
      </c>
    </row>
    <row r="156" ht="15.75" customHeight="1">
      <c r="A156" s="18"/>
      <c r="B156" s="19"/>
      <c r="C156" s="18"/>
      <c r="D156" s="18"/>
      <c r="E156" s="18"/>
      <c r="F156" s="18"/>
      <c r="G156" s="15"/>
      <c r="H156" s="20" t="str">
        <f>IF($C156="","",IF($C156&gt;=Inputs!$B$5,"Verde",IF($C156&gt;=Inputs!$B$5*Inputs!$B$8,"Amarillo","Rojo")))</f>
        <v/>
      </c>
    </row>
    <row r="157" ht="15.75" customHeight="1">
      <c r="A157" s="18"/>
      <c r="B157" s="19"/>
      <c r="C157" s="18"/>
      <c r="D157" s="18"/>
      <c r="E157" s="18"/>
      <c r="F157" s="18"/>
      <c r="G157" s="15"/>
      <c r="H157" s="20" t="str">
        <f>IF($C157="","",IF($C157&gt;=Inputs!$B$5,"Verde",IF($C157&gt;=Inputs!$B$5*Inputs!$B$8,"Amarillo","Rojo")))</f>
        <v/>
      </c>
    </row>
    <row r="158" ht="15.75" customHeight="1">
      <c r="A158" s="18"/>
      <c r="B158" s="19"/>
      <c r="C158" s="18"/>
      <c r="D158" s="18"/>
      <c r="E158" s="18"/>
      <c r="F158" s="18"/>
      <c r="G158" s="15"/>
      <c r="H158" s="20" t="str">
        <f>IF($C158="","",IF($C158&gt;=Inputs!$B$5,"Verde",IF($C158&gt;=Inputs!$B$5*Inputs!$B$8,"Amarillo","Rojo")))</f>
        <v/>
      </c>
    </row>
    <row r="159" ht="15.75" customHeight="1">
      <c r="A159" s="18"/>
      <c r="B159" s="19"/>
      <c r="C159" s="18"/>
      <c r="D159" s="18"/>
      <c r="E159" s="18"/>
      <c r="F159" s="18"/>
      <c r="G159" s="15"/>
      <c r="H159" s="20" t="str">
        <f>IF($C159="","",IF($C159&gt;=Inputs!$B$5,"Verde",IF($C159&gt;=Inputs!$B$5*Inputs!$B$8,"Amarillo","Rojo")))</f>
        <v/>
      </c>
    </row>
    <row r="160" ht="15.75" customHeight="1">
      <c r="A160" s="18"/>
      <c r="B160" s="19"/>
      <c r="C160" s="18"/>
      <c r="D160" s="18"/>
      <c r="E160" s="18"/>
      <c r="F160" s="18"/>
      <c r="G160" s="15"/>
      <c r="H160" s="20" t="str">
        <f>IF($C160="","",IF($C160&gt;=Inputs!$B$5,"Verde",IF($C160&gt;=Inputs!$B$5*Inputs!$B$8,"Amarillo","Rojo")))</f>
        <v/>
      </c>
    </row>
    <row r="161" ht="15.75" customHeight="1">
      <c r="A161" s="18"/>
      <c r="B161" s="19"/>
      <c r="C161" s="18"/>
      <c r="D161" s="18"/>
      <c r="E161" s="18"/>
      <c r="F161" s="18"/>
      <c r="G161" s="15"/>
      <c r="H161" s="20" t="str">
        <f>IF($C161="","",IF($C161&gt;=Inputs!$B$5,"Verde",IF($C161&gt;=Inputs!$B$5*Inputs!$B$8,"Amarillo","Rojo")))</f>
        <v/>
      </c>
    </row>
    <row r="162" ht="15.75" customHeight="1">
      <c r="A162" s="18"/>
      <c r="B162" s="19"/>
      <c r="C162" s="18"/>
      <c r="D162" s="18"/>
      <c r="E162" s="18"/>
      <c r="F162" s="18"/>
      <c r="G162" s="15"/>
      <c r="H162" s="20" t="str">
        <f>IF($C162="","",IF($C162&gt;=Inputs!$B$5,"Verde",IF($C162&gt;=Inputs!$B$5*Inputs!$B$8,"Amarillo","Rojo")))</f>
        <v/>
      </c>
    </row>
    <row r="163" ht="15.75" customHeight="1">
      <c r="A163" s="18"/>
      <c r="B163" s="19"/>
      <c r="C163" s="18"/>
      <c r="D163" s="18"/>
      <c r="E163" s="18"/>
      <c r="F163" s="18"/>
      <c r="G163" s="15"/>
      <c r="H163" s="20" t="str">
        <f>IF($C163="","",IF($C163&gt;=Inputs!$B$5,"Verde",IF($C163&gt;=Inputs!$B$5*Inputs!$B$8,"Amarillo","Rojo")))</f>
        <v/>
      </c>
    </row>
    <row r="164" ht="15.75" customHeight="1">
      <c r="A164" s="18"/>
      <c r="B164" s="19"/>
      <c r="C164" s="18"/>
      <c r="D164" s="18"/>
      <c r="E164" s="18"/>
      <c r="F164" s="18"/>
      <c r="G164" s="15"/>
      <c r="H164" s="20" t="str">
        <f>IF($C164="","",IF($C164&gt;=Inputs!$B$5,"Verde",IF($C164&gt;=Inputs!$B$5*Inputs!$B$8,"Amarillo","Rojo")))</f>
        <v/>
      </c>
    </row>
    <row r="165" ht="15.75" customHeight="1">
      <c r="A165" s="18"/>
      <c r="B165" s="19"/>
      <c r="C165" s="18"/>
      <c r="D165" s="18"/>
      <c r="E165" s="18"/>
      <c r="F165" s="18"/>
      <c r="G165" s="15"/>
      <c r="H165" s="20" t="str">
        <f>IF($C165="","",IF($C165&gt;=Inputs!$B$5,"Verde",IF($C165&gt;=Inputs!$B$5*Inputs!$B$8,"Amarillo","Rojo")))</f>
        <v/>
      </c>
    </row>
    <row r="166" ht="15.75" customHeight="1">
      <c r="A166" s="18"/>
      <c r="B166" s="19"/>
      <c r="C166" s="18"/>
      <c r="D166" s="18"/>
      <c r="E166" s="18"/>
      <c r="F166" s="18"/>
      <c r="G166" s="15"/>
      <c r="H166" s="20" t="str">
        <f>IF($C166="","",IF($C166&gt;=Inputs!$B$5,"Verde",IF($C166&gt;=Inputs!$B$5*Inputs!$B$8,"Amarillo","Rojo")))</f>
        <v/>
      </c>
    </row>
    <row r="167" ht="15.75" customHeight="1">
      <c r="A167" s="18"/>
      <c r="B167" s="19"/>
      <c r="C167" s="18"/>
      <c r="D167" s="18"/>
      <c r="E167" s="18"/>
      <c r="F167" s="18"/>
      <c r="G167" s="15"/>
      <c r="H167" s="20" t="str">
        <f>IF($C167="","",IF($C167&gt;=Inputs!$B$5,"Verde",IF($C167&gt;=Inputs!$B$5*Inputs!$B$8,"Amarillo","Rojo")))</f>
        <v/>
      </c>
    </row>
    <row r="168" ht="15.75" customHeight="1">
      <c r="A168" s="18"/>
      <c r="B168" s="19"/>
      <c r="C168" s="18"/>
      <c r="D168" s="18"/>
      <c r="E168" s="18"/>
      <c r="F168" s="18"/>
      <c r="G168" s="15"/>
      <c r="H168" s="20" t="str">
        <f>IF($C168="","",IF($C168&gt;=Inputs!$B$5,"Verde",IF($C168&gt;=Inputs!$B$5*Inputs!$B$8,"Amarillo","Rojo")))</f>
        <v/>
      </c>
    </row>
    <row r="169" ht="15.75" customHeight="1">
      <c r="A169" s="18"/>
      <c r="B169" s="19"/>
      <c r="C169" s="18"/>
      <c r="D169" s="18"/>
      <c r="E169" s="18"/>
      <c r="F169" s="18"/>
      <c r="G169" s="15"/>
      <c r="H169" s="20" t="str">
        <f>IF($C169="","",IF($C169&gt;=Inputs!$B$5,"Verde",IF($C169&gt;=Inputs!$B$5*Inputs!$B$8,"Amarillo","Rojo")))</f>
        <v/>
      </c>
    </row>
    <row r="170" ht="15.75" customHeight="1">
      <c r="A170" s="18"/>
      <c r="B170" s="19"/>
      <c r="C170" s="18"/>
      <c r="D170" s="18"/>
      <c r="E170" s="18"/>
      <c r="F170" s="18"/>
      <c r="G170" s="15"/>
      <c r="H170" s="20" t="str">
        <f>IF($C170="","",IF($C170&gt;=Inputs!$B$5,"Verde",IF($C170&gt;=Inputs!$B$5*Inputs!$B$8,"Amarillo","Rojo")))</f>
        <v/>
      </c>
    </row>
    <row r="171" ht="15.75" customHeight="1">
      <c r="A171" s="18"/>
      <c r="B171" s="19"/>
      <c r="C171" s="18"/>
      <c r="D171" s="18"/>
      <c r="E171" s="18"/>
      <c r="F171" s="18"/>
      <c r="G171" s="15"/>
      <c r="H171" s="20" t="str">
        <f>IF($C171="","",IF($C171&gt;=Inputs!$B$5,"Verde",IF($C171&gt;=Inputs!$B$5*Inputs!$B$8,"Amarillo","Rojo")))</f>
        <v/>
      </c>
    </row>
    <row r="172" ht="15.75" customHeight="1">
      <c r="A172" s="18"/>
      <c r="B172" s="19"/>
      <c r="C172" s="18"/>
      <c r="D172" s="18"/>
      <c r="E172" s="18"/>
      <c r="F172" s="18"/>
      <c r="G172" s="15"/>
      <c r="H172" s="20" t="str">
        <f>IF($C172="","",IF($C172&gt;=Inputs!$B$5,"Verde",IF($C172&gt;=Inputs!$B$5*Inputs!$B$8,"Amarillo","Rojo")))</f>
        <v/>
      </c>
    </row>
    <row r="173" ht="15.75" customHeight="1">
      <c r="A173" s="18"/>
      <c r="B173" s="19"/>
      <c r="C173" s="18"/>
      <c r="D173" s="18"/>
      <c r="E173" s="18"/>
      <c r="F173" s="18"/>
      <c r="G173" s="15"/>
      <c r="H173" s="20" t="str">
        <f>IF($C173="","",IF($C173&gt;=Inputs!$B$5,"Verde",IF($C173&gt;=Inputs!$B$5*Inputs!$B$8,"Amarillo","Rojo")))</f>
        <v/>
      </c>
    </row>
    <row r="174" ht="15.75" customHeight="1">
      <c r="A174" s="18"/>
      <c r="B174" s="19"/>
      <c r="C174" s="18"/>
      <c r="D174" s="18"/>
      <c r="E174" s="18"/>
      <c r="F174" s="18"/>
      <c r="G174" s="15"/>
      <c r="H174" s="20" t="str">
        <f>IF($C174="","",IF($C174&gt;=Inputs!$B$5,"Verde",IF($C174&gt;=Inputs!$B$5*Inputs!$B$8,"Amarillo","Rojo")))</f>
        <v/>
      </c>
    </row>
    <row r="175" ht="15.75" customHeight="1">
      <c r="A175" s="18"/>
      <c r="B175" s="19"/>
      <c r="C175" s="18"/>
      <c r="D175" s="18"/>
      <c r="E175" s="18"/>
      <c r="F175" s="18"/>
      <c r="G175" s="15"/>
      <c r="H175" s="20" t="str">
        <f>IF($C175="","",IF($C175&gt;=Inputs!$B$5,"Verde",IF($C175&gt;=Inputs!$B$5*Inputs!$B$8,"Amarillo","Rojo")))</f>
        <v/>
      </c>
    </row>
    <row r="176" ht="15.75" customHeight="1">
      <c r="A176" s="18"/>
      <c r="B176" s="19"/>
      <c r="C176" s="18"/>
      <c r="D176" s="18"/>
      <c r="E176" s="18"/>
      <c r="F176" s="18"/>
      <c r="G176" s="15"/>
      <c r="H176" s="20" t="str">
        <f>IF($C176="","",IF($C176&gt;=Inputs!$B$5,"Verde",IF($C176&gt;=Inputs!$B$5*Inputs!$B$8,"Amarillo","Rojo")))</f>
        <v/>
      </c>
    </row>
    <row r="177" ht="15.75" customHeight="1">
      <c r="A177" s="18"/>
      <c r="B177" s="19"/>
      <c r="C177" s="18"/>
      <c r="D177" s="18"/>
      <c r="E177" s="18"/>
      <c r="F177" s="18"/>
      <c r="G177" s="15"/>
      <c r="H177" s="20" t="str">
        <f>IF($C177="","",IF($C177&gt;=Inputs!$B$5,"Verde",IF($C177&gt;=Inputs!$B$5*Inputs!$B$8,"Amarillo","Rojo")))</f>
        <v/>
      </c>
    </row>
    <row r="178" ht="15.75" customHeight="1">
      <c r="A178" s="18"/>
      <c r="B178" s="19"/>
      <c r="C178" s="18"/>
      <c r="D178" s="18"/>
      <c r="E178" s="18"/>
      <c r="F178" s="18"/>
      <c r="G178" s="15"/>
      <c r="H178" s="20" t="str">
        <f>IF($C178="","",IF($C178&gt;=Inputs!$B$5,"Verde",IF($C178&gt;=Inputs!$B$5*Inputs!$B$8,"Amarillo","Rojo")))</f>
        <v/>
      </c>
    </row>
    <row r="179" ht="15.75" customHeight="1">
      <c r="A179" s="18"/>
      <c r="B179" s="19"/>
      <c r="C179" s="18"/>
      <c r="D179" s="18"/>
      <c r="E179" s="18"/>
      <c r="F179" s="18"/>
      <c r="G179" s="15"/>
      <c r="H179" s="20" t="str">
        <f>IF($C179="","",IF($C179&gt;=Inputs!$B$5,"Verde",IF($C179&gt;=Inputs!$B$5*Inputs!$B$8,"Amarillo","Rojo")))</f>
        <v/>
      </c>
    </row>
    <row r="180" ht="15.75" customHeight="1">
      <c r="A180" s="18"/>
      <c r="B180" s="19"/>
      <c r="C180" s="18"/>
      <c r="D180" s="18"/>
      <c r="E180" s="18"/>
      <c r="F180" s="18"/>
      <c r="G180" s="15"/>
      <c r="H180" s="20" t="str">
        <f>IF($C180="","",IF($C180&gt;=Inputs!$B$5,"Verde",IF($C180&gt;=Inputs!$B$5*Inputs!$B$8,"Amarillo","Rojo")))</f>
        <v/>
      </c>
    </row>
    <row r="181" ht="15.75" customHeight="1">
      <c r="A181" s="18"/>
      <c r="B181" s="19"/>
      <c r="C181" s="18"/>
      <c r="D181" s="18"/>
      <c r="E181" s="18"/>
      <c r="F181" s="18"/>
      <c r="G181" s="15"/>
      <c r="H181" s="20" t="str">
        <f>IF($C181="","",IF($C181&gt;=Inputs!$B$5,"Verde",IF($C181&gt;=Inputs!$B$5*Inputs!$B$8,"Amarillo","Rojo")))</f>
        <v/>
      </c>
    </row>
    <row r="182" ht="15.75" customHeight="1">
      <c r="A182" s="18"/>
      <c r="B182" s="19"/>
      <c r="C182" s="18"/>
      <c r="D182" s="18"/>
      <c r="E182" s="18"/>
      <c r="F182" s="18"/>
      <c r="G182" s="15"/>
      <c r="H182" s="20" t="str">
        <f>IF($C182="","",IF($C182&gt;=Inputs!$B$5,"Verde",IF($C182&gt;=Inputs!$B$5*Inputs!$B$8,"Amarillo","Rojo")))</f>
        <v/>
      </c>
    </row>
    <row r="183" ht="15.75" customHeight="1">
      <c r="A183" s="18"/>
      <c r="B183" s="19"/>
      <c r="C183" s="18"/>
      <c r="D183" s="18"/>
      <c r="E183" s="18"/>
      <c r="F183" s="18"/>
      <c r="G183" s="15"/>
      <c r="H183" s="20" t="str">
        <f>IF($C183="","",IF($C183&gt;=Inputs!$B$5,"Verde",IF($C183&gt;=Inputs!$B$5*Inputs!$B$8,"Amarillo","Rojo")))</f>
        <v/>
      </c>
    </row>
    <row r="184" ht="15.75" customHeight="1">
      <c r="A184" s="18"/>
      <c r="B184" s="19"/>
      <c r="C184" s="18"/>
      <c r="D184" s="18"/>
      <c r="E184" s="18"/>
      <c r="F184" s="18"/>
      <c r="G184" s="15"/>
      <c r="H184" s="20" t="str">
        <f>IF($C184="","",IF($C184&gt;=Inputs!$B$5,"Verde",IF($C184&gt;=Inputs!$B$5*Inputs!$B$8,"Amarillo","Rojo")))</f>
        <v/>
      </c>
    </row>
    <row r="185" ht="15.75" customHeight="1">
      <c r="A185" s="18"/>
      <c r="B185" s="19"/>
      <c r="C185" s="18"/>
      <c r="D185" s="18"/>
      <c r="E185" s="18"/>
      <c r="F185" s="18"/>
      <c r="G185" s="15"/>
      <c r="H185" s="20" t="str">
        <f>IF($C185="","",IF($C185&gt;=Inputs!$B$5,"Verde",IF($C185&gt;=Inputs!$B$5*Inputs!$B$8,"Amarillo","Rojo")))</f>
        <v/>
      </c>
    </row>
    <row r="186" ht="15.75" customHeight="1">
      <c r="A186" s="18"/>
      <c r="B186" s="19"/>
      <c r="C186" s="18"/>
      <c r="D186" s="18"/>
      <c r="E186" s="18"/>
      <c r="F186" s="18"/>
      <c r="G186" s="15"/>
      <c r="H186" s="20" t="str">
        <f>IF($C186="","",IF($C186&gt;=Inputs!$B$5,"Verde",IF($C186&gt;=Inputs!$B$5*Inputs!$B$8,"Amarillo","Rojo")))</f>
        <v/>
      </c>
    </row>
    <row r="187" ht="15.75" customHeight="1">
      <c r="A187" s="18"/>
      <c r="B187" s="19"/>
      <c r="C187" s="18"/>
      <c r="D187" s="18"/>
      <c r="E187" s="18"/>
      <c r="F187" s="18"/>
      <c r="G187" s="15"/>
      <c r="H187" s="20" t="str">
        <f>IF($C187="","",IF($C187&gt;=Inputs!$B$5,"Verde",IF($C187&gt;=Inputs!$B$5*Inputs!$B$8,"Amarillo","Rojo")))</f>
        <v/>
      </c>
    </row>
    <row r="188" ht="15.75" customHeight="1">
      <c r="A188" s="18"/>
      <c r="B188" s="19"/>
      <c r="C188" s="18"/>
      <c r="D188" s="18"/>
      <c r="E188" s="18"/>
      <c r="F188" s="18"/>
      <c r="G188" s="15"/>
      <c r="H188" s="20" t="str">
        <f>IF($C188="","",IF($C188&gt;=Inputs!$B$5,"Verde",IF($C188&gt;=Inputs!$B$5*Inputs!$B$8,"Amarillo","Rojo")))</f>
        <v/>
      </c>
    </row>
    <row r="189" ht="15.75" customHeight="1">
      <c r="A189" s="18"/>
      <c r="B189" s="19"/>
      <c r="C189" s="18"/>
      <c r="D189" s="18"/>
      <c r="E189" s="18"/>
      <c r="F189" s="18"/>
      <c r="G189" s="15"/>
      <c r="H189" s="20" t="str">
        <f>IF($C189="","",IF($C189&gt;=Inputs!$B$5,"Verde",IF($C189&gt;=Inputs!$B$5*Inputs!$B$8,"Amarillo","Rojo")))</f>
        <v/>
      </c>
    </row>
    <row r="190" ht="15.75" customHeight="1">
      <c r="A190" s="18"/>
      <c r="B190" s="19"/>
      <c r="C190" s="18"/>
      <c r="D190" s="18"/>
      <c r="E190" s="18"/>
      <c r="F190" s="18"/>
      <c r="G190" s="15"/>
      <c r="H190" s="20" t="str">
        <f>IF($C190="","",IF($C190&gt;=Inputs!$B$5,"Verde",IF($C190&gt;=Inputs!$B$5*Inputs!$B$8,"Amarillo","Rojo")))</f>
        <v/>
      </c>
    </row>
    <row r="191" ht="15.75" customHeight="1">
      <c r="A191" s="18"/>
      <c r="B191" s="19"/>
      <c r="C191" s="18"/>
      <c r="D191" s="18"/>
      <c r="E191" s="18"/>
      <c r="F191" s="18"/>
      <c r="G191" s="15"/>
      <c r="H191" s="20" t="str">
        <f>IF($C191="","",IF($C191&gt;=Inputs!$B$5,"Verde",IF($C191&gt;=Inputs!$B$5*Inputs!$B$8,"Amarillo","Rojo")))</f>
        <v/>
      </c>
    </row>
    <row r="192" ht="15.75" customHeight="1">
      <c r="A192" s="18"/>
      <c r="B192" s="19"/>
      <c r="C192" s="18"/>
      <c r="D192" s="18"/>
      <c r="E192" s="18"/>
      <c r="F192" s="18"/>
      <c r="G192" s="15"/>
      <c r="H192" s="20" t="str">
        <f>IF($C192="","",IF($C192&gt;=Inputs!$B$5,"Verde",IF($C192&gt;=Inputs!$B$5*Inputs!$B$8,"Amarillo","Rojo")))</f>
        <v/>
      </c>
    </row>
    <row r="193" ht="15.75" customHeight="1">
      <c r="A193" s="18"/>
      <c r="B193" s="19"/>
      <c r="C193" s="18"/>
      <c r="D193" s="18"/>
      <c r="E193" s="18"/>
      <c r="F193" s="18"/>
      <c r="G193" s="15"/>
      <c r="H193" s="20" t="str">
        <f>IF($C193="","",IF($C193&gt;=Inputs!$B$5,"Verde",IF($C193&gt;=Inputs!$B$5*Inputs!$B$8,"Amarillo","Rojo")))</f>
        <v/>
      </c>
    </row>
    <row r="194" ht="15.75" customHeight="1">
      <c r="A194" s="18"/>
      <c r="B194" s="19"/>
      <c r="C194" s="18"/>
      <c r="D194" s="18"/>
      <c r="E194" s="18"/>
      <c r="F194" s="18"/>
      <c r="G194" s="15"/>
      <c r="H194" s="20" t="str">
        <f>IF($C194="","",IF($C194&gt;=Inputs!$B$5,"Verde",IF($C194&gt;=Inputs!$B$5*Inputs!$B$8,"Amarillo","Rojo")))</f>
        <v/>
      </c>
    </row>
    <row r="195" ht="15.75" customHeight="1">
      <c r="A195" s="18"/>
      <c r="B195" s="19"/>
      <c r="C195" s="18"/>
      <c r="D195" s="18"/>
      <c r="E195" s="18"/>
      <c r="F195" s="18"/>
      <c r="G195" s="15"/>
      <c r="H195" s="20" t="str">
        <f>IF($C195="","",IF($C195&gt;=Inputs!$B$5,"Verde",IF($C195&gt;=Inputs!$B$5*Inputs!$B$8,"Amarillo","Rojo")))</f>
        <v/>
      </c>
    </row>
    <row r="196" ht="15.75" customHeight="1">
      <c r="A196" s="18"/>
      <c r="B196" s="19"/>
      <c r="C196" s="18"/>
      <c r="D196" s="18"/>
      <c r="E196" s="18"/>
      <c r="F196" s="18"/>
      <c r="G196" s="15"/>
      <c r="H196" s="20" t="str">
        <f>IF($C196="","",IF($C196&gt;=Inputs!$B$5,"Verde",IF($C196&gt;=Inputs!$B$5*Inputs!$B$8,"Amarillo","Rojo")))</f>
        <v/>
      </c>
    </row>
    <row r="197" ht="15.75" customHeight="1">
      <c r="A197" s="18"/>
      <c r="B197" s="19"/>
      <c r="C197" s="18"/>
      <c r="D197" s="18"/>
      <c r="E197" s="18"/>
      <c r="F197" s="18"/>
      <c r="G197" s="15"/>
      <c r="H197" s="20" t="str">
        <f>IF($C197="","",IF($C197&gt;=Inputs!$B$5,"Verde",IF($C197&gt;=Inputs!$B$5*Inputs!$B$8,"Amarillo","Rojo")))</f>
        <v/>
      </c>
    </row>
    <row r="198" ht="15.75" customHeight="1">
      <c r="A198" s="18"/>
      <c r="B198" s="19"/>
      <c r="C198" s="18"/>
      <c r="D198" s="18"/>
      <c r="E198" s="18"/>
      <c r="F198" s="18"/>
      <c r="G198" s="15"/>
      <c r="H198" s="20" t="str">
        <f>IF($C198="","",IF($C198&gt;=Inputs!$B$5,"Verde",IF($C198&gt;=Inputs!$B$5*Inputs!$B$8,"Amarillo","Rojo")))</f>
        <v/>
      </c>
    </row>
    <row r="199" ht="15.75" customHeight="1">
      <c r="A199" s="18"/>
      <c r="B199" s="19"/>
      <c r="C199" s="18"/>
      <c r="D199" s="18"/>
      <c r="E199" s="18"/>
      <c r="F199" s="18"/>
      <c r="G199" s="15"/>
      <c r="H199" s="20" t="str">
        <f>IF($C199="","",IF($C199&gt;=Inputs!$B$5,"Verde",IF($C199&gt;=Inputs!$B$5*Inputs!$B$8,"Amarillo","Rojo")))</f>
        <v/>
      </c>
    </row>
    <row r="200" ht="15.75" customHeight="1">
      <c r="A200" s="18"/>
      <c r="B200" s="19"/>
      <c r="C200" s="18"/>
      <c r="D200" s="18"/>
      <c r="E200" s="18"/>
      <c r="F200" s="18"/>
      <c r="G200" s="15"/>
      <c r="H200" s="20" t="str">
        <f>IF($C200="","",IF($C200&gt;=Inputs!$B$5,"Verde",IF($C200&gt;=Inputs!$B$5*Inputs!$B$8,"Amarillo","Rojo")))</f>
        <v/>
      </c>
    </row>
    <row r="201" ht="15.75" customHeight="1">
      <c r="A201" s="18"/>
      <c r="B201" s="19"/>
      <c r="C201" s="18"/>
      <c r="D201" s="18"/>
      <c r="E201" s="18"/>
      <c r="F201" s="18"/>
      <c r="G201" s="15"/>
      <c r="H201" s="20" t="str">
        <f>IF($C201="","",IF($C201&gt;=Inputs!$B$5,"Verde",IF($C201&gt;=Inputs!$B$5*Inputs!$B$8,"Amarillo","Rojo")))</f>
        <v/>
      </c>
    </row>
    <row r="202" ht="15.75" customHeight="1">
      <c r="A202" s="18"/>
      <c r="B202" s="19"/>
      <c r="C202" s="18"/>
      <c r="D202" s="18"/>
      <c r="E202" s="18"/>
      <c r="F202" s="18"/>
      <c r="G202" s="15"/>
      <c r="H202" s="20" t="str">
        <f>IF($C202="","",IF($C202&gt;=Inputs!$B$5,"Verde",IF($C202&gt;=Inputs!$B$5*Inputs!$B$8,"Amarillo","Rojo")))</f>
        <v/>
      </c>
    </row>
    <row r="203" ht="15.75" customHeight="1">
      <c r="A203" s="18"/>
      <c r="B203" s="19"/>
      <c r="C203" s="18"/>
      <c r="D203" s="18"/>
      <c r="E203" s="18"/>
      <c r="F203" s="18"/>
      <c r="G203" s="15"/>
      <c r="H203" s="20" t="str">
        <f>IF($C203="","",IF($C203&gt;=Inputs!$B$5,"Verde",IF($C203&gt;=Inputs!$B$5*Inputs!$B$8,"Amarillo","Rojo")))</f>
        <v/>
      </c>
    </row>
    <row r="204" ht="15.75" customHeight="1">
      <c r="A204" s="18"/>
      <c r="B204" s="19"/>
      <c r="C204" s="18"/>
      <c r="D204" s="18"/>
      <c r="E204" s="18"/>
      <c r="F204" s="18"/>
      <c r="G204" s="15"/>
      <c r="H204" s="20" t="str">
        <f>IF($C204="","",IF($C204&gt;=Inputs!$B$5,"Verde",IF($C204&gt;=Inputs!$B$5*Inputs!$B$8,"Amarillo","Rojo")))</f>
        <v/>
      </c>
    </row>
    <row r="205" ht="15.75" customHeight="1">
      <c r="A205" s="18"/>
      <c r="B205" s="19"/>
      <c r="C205" s="18"/>
      <c r="D205" s="18"/>
      <c r="E205" s="18"/>
      <c r="F205" s="18"/>
      <c r="G205" s="15"/>
      <c r="H205" s="20" t="str">
        <f>IF($C205="","",IF($C205&gt;=Inputs!$B$5,"Verde",IF($C205&gt;=Inputs!$B$5*Inputs!$B$8,"Amarillo","Rojo")))</f>
        <v/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4:H4"/>
  </mergeCells>
  <printOptions/>
  <pageMargins bottom="0.75" footer="0.0" header="0.0" left="0.7" right="0.7" top="0.75"/>
  <pageSetup orientation="landscape"/>
  <drawing r:id="rId1"/>
</worksheet>
</file>